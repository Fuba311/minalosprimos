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ownloads\dashboard_dividendos_pack\"/>
    </mc:Choice>
  </mc:AlternateContent>
  <xr:revisionPtr revIDLastSave="0" documentId="13_ncr:1_{B7D33E2C-5162-42AA-B580-EEA5B3C227A1}" xr6:coauthVersionLast="47" xr6:coauthVersionMax="47" xr10:uidLastSave="{00000000-0000-0000-0000-000000000000}"/>
  <bookViews>
    <workbookView xWindow="-103" yWindow="-103" windowWidth="22149" windowHeight="13200" activeTab="4" xr2:uid="{00000000-000D-0000-FFFF-FFFF00000000}"/>
  </bookViews>
  <sheets>
    <sheet name="README" sheetId="1" r:id="rId1"/>
    <sheet name="diccionario" sheetId="2" r:id="rId2"/>
    <sheet name="fuentes" sheetId="3" r:id="rId3"/>
    <sheet name="config" sheetId="4" state="hidden" r:id="rId4"/>
    <sheet name="panel_regresion" sheetId="5" r:id="rId5"/>
  </sheets>
  <definedNames>
    <definedName name="_xlnm._FilterDatabase" localSheetId="4" hidden="1">panel_regresion!$A$1:$Z$77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9" i="5" l="1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17" i="5"/>
  <c r="Z61" i="5"/>
  <c r="F78" i="5"/>
  <c r="G78" i="5"/>
  <c r="H78" i="5"/>
  <c r="F79" i="5"/>
  <c r="G79" i="5"/>
  <c r="H79" i="5"/>
  <c r="Z78" i="5"/>
  <c r="Z63" i="5"/>
  <c r="B15" i="5" l="1"/>
  <c r="B14" i="5"/>
  <c r="H3" i="5"/>
  <c r="G3" i="5"/>
  <c r="F3" i="5"/>
  <c r="Z4" i="5"/>
  <c r="H4" i="5"/>
  <c r="G4" i="5"/>
  <c r="F4" i="5"/>
  <c r="H2" i="5"/>
  <c r="Z2" i="5"/>
  <c r="H5" i="5"/>
  <c r="Z5" i="5"/>
  <c r="H6" i="5"/>
  <c r="Z6" i="5"/>
  <c r="H7" i="5"/>
  <c r="Z7" i="5"/>
  <c r="H8" i="5"/>
  <c r="Z8" i="5"/>
  <c r="H9" i="5"/>
  <c r="Z9" i="5"/>
  <c r="H10" i="5"/>
  <c r="Z10" i="5"/>
  <c r="H11" i="5"/>
  <c r="Z11" i="5"/>
  <c r="H12" i="5"/>
  <c r="Z12" i="5"/>
  <c r="H13" i="5"/>
  <c r="Z13" i="5"/>
  <c r="H14" i="5"/>
  <c r="Z14" i="5"/>
  <c r="H15" i="5"/>
  <c r="Z15" i="5"/>
  <c r="H16" i="5"/>
  <c r="Z16" i="5"/>
  <c r="G2" i="5"/>
  <c r="G5" i="5"/>
  <c r="G6" i="5"/>
  <c r="G7" i="5"/>
  <c r="G8" i="5"/>
  <c r="G9" i="5"/>
  <c r="G10" i="5"/>
  <c r="G11" i="5"/>
  <c r="G12" i="5"/>
  <c r="G13" i="5"/>
  <c r="G14" i="5"/>
  <c r="G15" i="5"/>
  <c r="G16" i="5"/>
  <c r="F2" i="5"/>
  <c r="F5" i="5"/>
  <c r="F6" i="5"/>
  <c r="F7" i="5"/>
  <c r="F8" i="5"/>
  <c r="F9" i="5"/>
  <c r="F10" i="5"/>
  <c r="F11" i="5"/>
  <c r="F12" i="5"/>
  <c r="F13" i="5"/>
  <c r="F14" i="5"/>
  <c r="F15" i="5"/>
  <c r="F16" i="5"/>
  <c r="Z17" i="5"/>
  <c r="H17" i="5"/>
  <c r="G17" i="5"/>
  <c r="F17" i="5"/>
  <c r="Z77" i="5"/>
  <c r="Z65" i="5"/>
  <c r="Z64" i="5"/>
  <c r="Z18" i="5"/>
  <c r="Z19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2" i="5"/>
  <c r="Z66" i="5"/>
  <c r="Z67" i="5"/>
  <c r="Z68" i="5"/>
  <c r="Z69" i="5"/>
  <c r="Z70" i="5"/>
  <c r="Z71" i="5"/>
  <c r="Z72" i="5"/>
  <c r="Z73" i="5"/>
  <c r="Z74" i="5"/>
  <c r="Z75" i="5"/>
  <c r="Z76" i="5"/>
  <c r="Z43" i="5"/>
  <c r="H77" i="5"/>
  <c r="G77" i="5"/>
  <c r="F77" i="5"/>
  <c r="H76" i="5"/>
  <c r="G76" i="5"/>
  <c r="F76" i="5"/>
  <c r="H75" i="5"/>
  <c r="G75" i="5"/>
  <c r="F75" i="5"/>
  <c r="H74" i="5"/>
  <c r="G74" i="5"/>
  <c r="F74" i="5"/>
  <c r="H73" i="5"/>
  <c r="G73" i="5"/>
  <c r="F73" i="5"/>
  <c r="H72" i="5"/>
  <c r="G72" i="5"/>
  <c r="F72" i="5"/>
  <c r="H71" i="5"/>
  <c r="G71" i="5"/>
  <c r="F71" i="5"/>
  <c r="H70" i="5"/>
  <c r="G70" i="5"/>
  <c r="F70" i="5"/>
  <c r="H69" i="5"/>
  <c r="G69" i="5"/>
  <c r="F69" i="5"/>
  <c r="H68" i="5"/>
  <c r="G68" i="5"/>
  <c r="F68" i="5"/>
  <c r="H67" i="5"/>
  <c r="G67" i="5"/>
  <c r="F67" i="5"/>
  <c r="H66" i="5"/>
  <c r="G66" i="5"/>
  <c r="F66" i="5"/>
  <c r="H65" i="5"/>
  <c r="G65" i="5"/>
  <c r="F65" i="5"/>
  <c r="H64" i="5"/>
  <c r="G64" i="5"/>
  <c r="F64" i="5"/>
  <c r="H63" i="5"/>
  <c r="G63" i="5"/>
  <c r="F63" i="5"/>
  <c r="H62" i="5"/>
  <c r="G62" i="5"/>
  <c r="F62" i="5"/>
  <c r="H61" i="5"/>
  <c r="G61" i="5"/>
  <c r="F61" i="5"/>
  <c r="H60" i="5"/>
  <c r="G60" i="5"/>
  <c r="F60" i="5"/>
  <c r="H59" i="5"/>
  <c r="G59" i="5"/>
  <c r="F59" i="5"/>
  <c r="H58" i="5"/>
  <c r="G58" i="5"/>
  <c r="F58" i="5"/>
  <c r="H57" i="5"/>
  <c r="G57" i="5"/>
  <c r="F57" i="5"/>
  <c r="H56" i="5"/>
  <c r="G56" i="5"/>
  <c r="F56" i="5"/>
  <c r="H55" i="5"/>
  <c r="G55" i="5"/>
  <c r="F55" i="5"/>
  <c r="H54" i="5"/>
  <c r="G54" i="5"/>
  <c r="F54" i="5"/>
  <c r="H53" i="5"/>
  <c r="G53" i="5"/>
  <c r="F53" i="5"/>
  <c r="H52" i="5"/>
  <c r="G52" i="5"/>
  <c r="F52" i="5"/>
  <c r="H51" i="5"/>
  <c r="G51" i="5"/>
  <c r="F51" i="5"/>
  <c r="H50" i="5"/>
  <c r="G50" i="5"/>
  <c r="F50" i="5"/>
  <c r="H49" i="5"/>
  <c r="G49" i="5"/>
  <c r="F49" i="5"/>
  <c r="H48" i="5"/>
  <c r="G48" i="5"/>
  <c r="F48" i="5"/>
  <c r="H47" i="5"/>
  <c r="G47" i="5"/>
  <c r="F47" i="5"/>
  <c r="H46" i="5"/>
  <c r="G46" i="5"/>
  <c r="F46" i="5"/>
  <c r="H45" i="5"/>
  <c r="G45" i="5"/>
  <c r="F45" i="5"/>
  <c r="H44" i="5"/>
  <c r="G44" i="5"/>
  <c r="F44" i="5"/>
  <c r="H43" i="5"/>
  <c r="G43" i="5"/>
  <c r="F43" i="5"/>
  <c r="H42" i="5"/>
  <c r="G42" i="5"/>
  <c r="F42" i="5"/>
  <c r="H41" i="5"/>
  <c r="G41" i="5"/>
  <c r="F41" i="5"/>
  <c r="H40" i="5"/>
  <c r="G40" i="5"/>
  <c r="F40" i="5"/>
  <c r="H39" i="5"/>
  <c r="G39" i="5"/>
  <c r="F39" i="5"/>
  <c r="H38" i="5"/>
  <c r="G38" i="5"/>
  <c r="F38" i="5"/>
  <c r="H37" i="5"/>
  <c r="G37" i="5"/>
  <c r="F37" i="5"/>
  <c r="H36" i="5"/>
  <c r="G36" i="5"/>
  <c r="F36" i="5"/>
  <c r="H35" i="5"/>
  <c r="G35" i="5"/>
  <c r="F35" i="5"/>
  <c r="H34" i="5"/>
  <c r="G34" i="5"/>
  <c r="F34" i="5"/>
  <c r="H33" i="5"/>
  <c r="G33" i="5"/>
  <c r="F33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H24" i="5"/>
  <c r="G24" i="5"/>
  <c r="F24" i="5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H18" i="5"/>
  <c r="G18" i="5"/>
  <c r="F18" i="5"/>
  <c r="B2" i="4"/>
  <c r="K78" i="5" s="1"/>
  <c r="B1" i="4"/>
  <c r="J79" i="5" s="1"/>
  <c r="M79" i="5" s="1"/>
  <c r="J78" i="5" l="1"/>
  <c r="M78" i="5" s="1"/>
  <c r="K77" i="5"/>
  <c r="K79" i="5"/>
  <c r="I69" i="5"/>
  <c r="L69" i="5" s="1"/>
  <c r="I78" i="5"/>
  <c r="L78" i="5" s="1"/>
  <c r="I79" i="5"/>
  <c r="L79" i="5" s="1"/>
  <c r="I15" i="5"/>
  <c r="L15" i="5" s="1"/>
  <c r="I14" i="5"/>
  <c r="L14" i="5" s="1"/>
  <c r="I13" i="5"/>
  <c r="L13" i="5" s="1"/>
  <c r="I12" i="5"/>
  <c r="L12" i="5" s="1"/>
  <c r="I17" i="5"/>
  <c r="L17" i="5" s="1"/>
  <c r="I16" i="5"/>
  <c r="L16" i="5" s="1"/>
  <c r="I11" i="5"/>
  <c r="L11" i="5" s="1"/>
  <c r="I9" i="5"/>
  <c r="L9" i="5" s="1"/>
  <c r="I6" i="5"/>
  <c r="L6" i="5" s="1"/>
  <c r="I7" i="5"/>
  <c r="L7" i="5" s="1"/>
  <c r="I5" i="5"/>
  <c r="L5" i="5" s="1"/>
  <c r="I4" i="5"/>
  <c r="L4" i="5" s="1"/>
  <c r="I3" i="5"/>
  <c r="L3" i="5" s="1"/>
  <c r="I10" i="5"/>
  <c r="L10" i="5" s="1"/>
  <c r="I8" i="5"/>
  <c r="L8" i="5" s="1"/>
  <c r="I2" i="5"/>
  <c r="L2" i="5" s="1"/>
  <c r="J3" i="5"/>
  <c r="M3" i="5" s="1"/>
  <c r="J12" i="5"/>
  <c r="M12" i="5" s="1"/>
  <c r="J15" i="5"/>
  <c r="M15" i="5" s="1"/>
  <c r="J11" i="5"/>
  <c r="M11" i="5" s="1"/>
  <c r="J9" i="5"/>
  <c r="M9" i="5" s="1"/>
  <c r="J8" i="5"/>
  <c r="M8" i="5" s="1"/>
  <c r="J7" i="5"/>
  <c r="M7" i="5" s="1"/>
  <c r="J6" i="5"/>
  <c r="M6" i="5" s="1"/>
  <c r="J5" i="5"/>
  <c r="M5" i="5" s="1"/>
  <c r="J2" i="5"/>
  <c r="M2" i="5" s="1"/>
  <c r="J14" i="5"/>
  <c r="M14" i="5" s="1"/>
  <c r="J4" i="5"/>
  <c r="M4" i="5" s="1"/>
  <c r="J13" i="5"/>
  <c r="M13" i="5" s="1"/>
  <c r="J10" i="5"/>
  <c r="M10" i="5" s="1"/>
  <c r="J16" i="5"/>
  <c r="M16" i="5" s="1"/>
  <c r="J17" i="5"/>
  <c r="M17" i="5" s="1"/>
  <c r="K18" i="5"/>
  <c r="K19" i="5" a="1"/>
  <c r="K19" i="5" s="1"/>
  <c r="J39" i="5"/>
  <c r="M39" i="5" s="1"/>
  <c r="J70" i="5"/>
  <c r="M70" i="5" s="1"/>
  <c r="K39" i="5"/>
  <c r="J30" i="5"/>
  <c r="M30" i="5" s="1"/>
  <c r="K23" i="5"/>
  <c r="J38" i="5"/>
  <c r="M38" i="5" s="1"/>
  <c r="K38" i="5"/>
  <c r="K70" i="5"/>
  <c r="K30" i="5"/>
  <c r="K63" i="5"/>
  <c r="K31" i="5"/>
  <c r="J22" i="5"/>
  <c r="M22" i="5" s="1"/>
  <c r="J62" i="5"/>
  <c r="M62" i="5" s="1"/>
  <c r="K22" i="5"/>
  <c r="K62" i="5"/>
  <c r="J23" i="5"/>
  <c r="M23" i="5" s="1"/>
  <c r="J54" i="5"/>
  <c r="M54" i="5" s="1"/>
  <c r="K54" i="5"/>
  <c r="K55" i="5"/>
  <c r="J31" i="5"/>
  <c r="M31" i="5" s="1"/>
  <c r="K71" i="5"/>
  <c r="K47" i="5"/>
  <c r="J69" i="5"/>
  <c r="M69" i="5" s="1"/>
  <c r="J46" i="5"/>
  <c r="M46" i="5" s="1"/>
  <c r="K46" i="5"/>
  <c r="K40" i="5"/>
  <c r="K72" i="5"/>
  <c r="K25" i="5"/>
  <c r="K57" i="5"/>
  <c r="K26" i="5"/>
  <c r="K34" i="5"/>
  <c r="K50" i="5"/>
  <c r="K58" i="5"/>
  <c r="K35" i="5"/>
  <c r="K43" i="5"/>
  <c r="K51" i="5"/>
  <c r="K59" i="5"/>
  <c r="K67" i="5"/>
  <c r="K75" i="5"/>
  <c r="K24" i="5"/>
  <c r="K56" i="5"/>
  <c r="K33" i="5"/>
  <c r="K65" i="5"/>
  <c r="K42" i="5"/>
  <c r="K66" i="5"/>
  <c r="K44" i="5"/>
  <c r="K32" i="5"/>
  <c r="K48" i="5"/>
  <c r="K64" i="5"/>
  <c r="K41" i="5"/>
  <c r="K49" i="5"/>
  <c r="K73" i="5"/>
  <c r="K74" i="5"/>
  <c r="K27" i="5"/>
  <c r="K28" i="5"/>
  <c r="K36" i="5"/>
  <c r="K52" i="5"/>
  <c r="K60" i="5"/>
  <c r="K68" i="5"/>
  <c r="K76" i="5"/>
  <c r="K21" i="5"/>
  <c r="K29" i="5"/>
  <c r="K37" i="5"/>
  <c r="K45" i="5"/>
  <c r="K53" i="5"/>
  <c r="K61" i="5"/>
  <c r="K69" i="5"/>
  <c r="J63" i="5"/>
  <c r="M63" i="5" s="1"/>
  <c r="J47" i="5"/>
  <c r="M47" i="5" s="1"/>
  <c r="J55" i="5"/>
  <c r="M55" i="5" s="1"/>
  <c r="J71" i="5"/>
  <c r="M71" i="5" s="1"/>
  <c r="J18" i="5"/>
  <c r="M18" i="5" s="1"/>
  <c r="J26" i="5"/>
  <c r="M26" i="5" s="1"/>
  <c r="J34" i="5"/>
  <c r="M34" i="5" s="1"/>
  <c r="J42" i="5"/>
  <c r="M42" i="5" s="1"/>
  <c r="J50" i="5"/>
  <c r="M50" i="5" s="1"/>
  <c r="J58" i="5"/>
  <c r="M58" i="5" s="1"/>
  <c r="J66" i="5"/>
  <c r="M66" i="5" s="1"/>
  <c r="J74" i="5"/>
  <c r="M74" i="5" s="1"/>
  <c r="J19" i="5"/>
  <c r="M19" i="5" s="1"/>
  <c r="J27" i="5"/>
  <c r="M27" i="5" s="1"/>
  <c r="J35" i="5"/>
  <c r="M35" i="5" s="1"/>
  <c r="J43" i="5"/>
  <c r="M43" i="5" s="1"/>
  <c r="J51" i="5"/>
  <c r="M51" i="5" s="1"/>
  <c r="J59" i="5"/>
  <c r="M59" i="5" s="1"/>
  <c r="J67" i="5"/>
  <c r="M67" i="5" s="1"/>
  <c r="J75" i="5"/>
  <c r="M75" i="5" s="1"/>
  <c r="I18" i="5"/>
  <c r="L18" i="5" s="1"/>
  <c r="I22" i="5"/>
  <c r="L22" i="5" s="1"/>
  <c r="I26" i="5"/>
  <c r="L26" i="5" s="1"/>
  <c r="I30" i="5"/>
  <c r="L30" i="5" s="1"/>
  <c r="I34" i="5"/>
  <c r="L34" i="5" s="1"/>
  <c r="I38" i="5"/>
  <c r="L38" i="5" s="1"/>
  <c r="I42" i="5"/>
  <c r="L42" i="5" s="1"/>
  <c r="I46" i="5"/>
  <c r="L46" i="5" s="1"/>
  <c r="I50" i="5"/>
  <c r="L50" i="5" s="1"/>
  <c r="I54" i="5"/>
  <c r="L54" i="5" s="1"/>
  <c r="I58" i="5"/>
  <c r="L58" i="5" s="1"/>
  <c r="I62" i="5"/>
  <c r="L62" i="5" s="1"/>
  <c r="I66" i="5"/>
  <c r="L66" i="5" s="1"/>
  <c r="I70" i="5"/>
  <c r="L70" i="5" s="1"/>
  <c r="I74" i="5"/>
  <c r="L74" i="5" s="1"/>
  <c r="J28" i="5"/>
  <c r="M28" i="5" s="1"/>
  <c r="J32" i="5"/>
  <c r="M32" i="5" s="1"/>
  <c r="J36" i="5"/>
  <c r="M36" i="5" s="1"/>
  <c r="J40" i="5"/>
  <c r="M40" i="5" s="1"/>
  <c r="J44" i="5"/>
  <c r="M44" i="5" s="1"/>
  <c r="J48" i="5"/>
  <c r="M48" i="5" s="1"/>
  <c r="J52" i="5"/>
  <c r="M52" i="5" s="1"/>
  <c r="J56" i="5"/>
  <c r="M56" i="5" s="1"/>
  <c r="J68" i="5"/>
  <c r="M68" i="5" s="1"/>
  <c r="J21" i="5"/>
  <c r="M21" i="5" s="1"/>
  <c r="J25" i="5"/>
  <c r="M25" i="5" s="1"/>
  <c r="J33" i="5"/>
  <c r="M33" i="5" s="1"/>
  <c r="J37" i="5"/>
  <c r="M37" i="5" s="1"/>
  <c r="J41" i="5"/>
  <c r="M41" i="5" s="1"/>
  <c r="J45" i="5"/>
  <c r="M45" i="5" s="1"/>
  <c r="J53" i="5"/>
  <c r="M53" i="5" s="1"/>
  <c r="J57" i="5"/>
  <c r="M57" i="5" s="1"/>
  <c r="J61" i="5"/>
  <c r="M61" i="5" s="1"/>
  <c r="J65" i="5"/>
  <c r="M65" i="5" s="1"/>
  <c r="J73" i="5"/>
  <c r="M73" i="5" s="1"/>
  <c r="J49" i="5"/>
  <c r="M49" i="5" s="1"/>
  <c r="I75" i="5"/>
  <c r="L75" i="5" s="1"/>
  <c r="J72" i="5"/>
  <c r="M72" i="5" s="1"/>
  <c r="I19" i="5"/>
  <c r="L19" i="5" s="1"/>
  <c r="I23" i="5"/>
  <c r="L23" i="5" s="1"/>
  <c r="I27" i="5"/>
  <c r="L27" i="5" s="1"/>
  <c r="I31" i="5"/>
  <c r="L31" i="5" s="1"/>
  <c r="I35" i="5"/>
  <c r="L35" i="5" s="1"/>
  <c r="I39" i="5"/>
  <c r="L39" i="5" s="1"/>
  <c r="I43" i="5"/>
  <c r="L43" i="5" s="1"/>
  <c r="I47" i="5"/>
  <c r="L47" i="5" s="1"/>
  <c r="I51" i="5"/>
  <c r="L51" i="5" s="1"/>
  <c r="I55" i="5"/>
  <c r="L55" i="5" s="1"/>
  <c r="I59" i="5"/>
  <c r="L59" i="5" s="1"/>
  <c r="I63" i="5"/>
  <c r="L63" i="5" s="1"/>
  <c r="I67" i="5"/>
  <c r="L67" i="5" s="1"/>
  <c r="I71" i="5"/>
  <c r="L71" i="5" s="1"/>
  <c r="I20" i="5"/>
  <c r="L20" i="5" s="1"/>
  <c r="I24" i="5"/>
  <c r="L24" i="5" s="1"/>
  <c r="I28" i="5"/>
  <c r="L28" i="5" s="1"/>
  <c r="I32" i="5"/>
  <c r="L32" i="5" s="1"/>
  <c r="I36" i="5"/>
  <c r="L36" i="5" s="1"/>
  <c r="I40" i="5"/>
  <c r="L40" i="5" s="1"/>
  <c r="I44" i="5"/>
  <c r="L44" i="5" s="1"/>
  <c r="I48" i="5"/>
  <c r="L48" i="5" s="1"/>
  <c r="I52" i="5"/>
  <c r="L52" i="5" s="1"/>
  <c r="I56" i="5"/>
  <c r="L56" i="5" s="1"/>
  <c r="I60" i="5"/>
  <c r="L60" i="5" s="1"/>
  <c r="I64" i="5"/>
  <c r="L64" i="5" s="1"/>
  <c r="I68" i="5"/>
  <c r="L68" i="5" s="1"/>
  <c r="I72" i="5"/>
  <c r="L72" i="5" s="1"/>
  <c r="I76" i="5"/>
  <c r="L76" i="5" s="1"/>
  <c r="J76" i="5"/>
  <c r="M76" i="5" s="1"/>
  <c r="J24" i="5"/>
  <c r="M24" i="5" s="1"/>
  <c r="J64" i="5"/>
  <c r="M64" i="5" s="1"/>
  <c r="I21" i="5"/>
  <c r="L21" i="5" s="1"/>
  <c r="I25" i="5"/>
  <c r="L25" i="5" s="1"/>
  <c r="I29" i="5"/>
  <c r="L29" i="5" s="1"/>
  <c r="I33" i="5"/>
  <c r="L33" i="5" s="1"/>
  <c r="I37" i="5"/>
  <c r="L37" i="5" s="1"/>
  <c r="I41" i="5"/>
  <c r="L41" i="5" s="1"/>
  <c r="I45" i="5"/>
  <c r="L45" i="5" s="1"/>
  <c r="I49" i="5"/>
  <c r="L49" i="5" s="1"/>
  <c r="I53" i="5"/>
  <c r="L53" i="5" s="1"/>
  <c r="I57" i="5"/>
  <c r="L57" i="5" s="1"/>
  <c r="I61" i="5"/>
  <c r="L61" i="5" s="1"/>
  <c r="I65" i="5"/>
  <c r="L65" i="5" s="1"/>
  <c r="I73" i="5"/>
  <c r="L73" i="5" s="1"/>
  <c r="I77" i="5"/>
  <c r="L77" i="5" s="1"/>
  <c r="J77" i="5"/>
  <c r="M77" i="5" s="1"/>
  <c r="J20" i="5"/>
  <c r="M20" i="5" s="1"/>
  <c r="J60" i="5"/>
  <c r="M60" i="5" s="1"/>
  <c r="J29" i="5"/>
  <c r="M2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N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Fuente pública: INE IPMin a enero 2026
https://www.ine.gob.cl/docs/default-source/mineria/cuadros-estadisticos/base-promedio-2018-100/series-empalmadas-y-mensuales-a-enero-2026.xls</t>
        </r>
      </text>
    </comment>
    <comment ref="O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Fuente pública: INE IPMin a enero 2026
https://www.ine.gob.cl/docs/default-source/mineria/cuadros-estadisticos/base-promedio-2018-100/series-empalmadas-y-mensuales-a-enero-2026.xls</t>
        </r>
      </text>
    </comment>
    <comment ref="P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Fuente pública: INE IPMin a enero 2026
https://www.ine.gob.cl/docs/default-source/mineria/cuadros-estadisticos/base-promedio-2018-100/series-empalmadas-y-mensuales-a-enero-2026.xls</t>
        </r>
      </text>
    </comment>
    <comment ref="Q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Fuente pública: INE Inventarios Minería del Cobre a enero 2026
https://www.ine.gob.cl/docs/default-source/inventarios-de-la-miner%C3%ADa-del-cobre/cuadros-estadisticos/base-diciembre-2018-100/series-empalmadas-y-mensuales-a-enero-2026.xls</t>
        </r>
      </text>
    </comment>
    <comment ref="R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Fuente pública: INE Inventarios Minería del Cobre a enero 2026
https://www.ine.gob.cl/docs/default-source/inventarios-de-la-miner%C3%ADa-del-cobre/cuadros-estadisticos/base-diciembre-2018-100/series-empalmadas-y-mensuales-a-enero-2026.xls</t>
        </r>
      </text>
    </comment>
    <comment ref="S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Fuente pública: INE Inventarios Minería del Cobre a enero 2026
https://www.ine.gob.cl/docs/default-source/inventarios-de-la-miner%C3%ADa-del-cobre/cuadros-estadisticos/base-diciembre-2018-100/series-empalmadas-y-mensuales-a-enero-2026.xls</t>
        </r>
      </text>
    </comment>
    <comment ref="T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Fuente pública: INE IPMin a enero 2026
https://www.ine.gob.cl/docs/default-source/mineria/cuadros-estadisticos/base-promedio-2018-100/series-empalmadas-y-mensuales-a-enero-2026.xls</t>
        </r>
      </text>
    </comment>
    <comment ref="U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Fuente pública: INE IPMin a enero 2026
https://www.ine.gob.cl/docs/default-source/mineria/cuadros-estadisticos/base-promedio-2018-100/series-empalmadas-y-mensuales-a-enero-2026.xls</t>
        </r>
      </text>
    </comment>
    <comment ref="V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Fuente pública: INE IPMin a enero 2026
https://www.ine.gob.cl/docs/default-source/mineria/cuadros-estadisticos/base-promedio-2018-100/series-empalmadas-y-mensuales-a-enero-2026.xls</t>
        </r>
      </text>
    </comment>
    <comment ref="W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Fuente pública: INE IPMin a enero 2026
https://www.ine.gob.cl/docs/default-source/mineria/cuadros-estadisticos/base-promedio-2018-100/series-empalmadas-y-mensuales-a-enero-2026.xls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<sst xmlns="http://schemas.openxmlformats.org/spreadsheetml/2006/main" count="241" uniqueCount="154">
  <si>
    <t>Panel mensual para evaluar oferta de 1% en minera de cobre</t>
  </si>
  <si>
    <t>Qué trae este archivo</t>
  </si>
  <si>
    <t>Un panel mensual desde 2021-02 hasta 2026-02. Las columnas azules son para pegar tus series. Las verdes ya vienen cargadas con datos públicos mensuales de Chile. Las amarillas calculan variables útiles para la regresión.</t>
  </si>
  <si>
    <t>Columnas que debes pegar</t>
  </si>
  <si>
    <t>dividendo_total_nominal, ipc, cobre_usd_metric_ton, fx_clp_usd. Si más adelante consigues datos de la faena específica, pega produccion_mina_tmf y ley_mina_pct.</t>
  </si>
  <si>
    <t>Variables públicas ya cargadas</t>
  </si>
  <si>
    <t>ipmin_index, grupo_040_cobre_index, ipmin_excl_cobre_index, iimcu_index, iimcu_productos_index, iimcu_insumos_index, cobre_tmf_chile, molibdeno_tmf_chile, oro_kg_fino_chile y plata_kg_fino_chile.</t>
  </si>
  <si>
    <t>Qué no pude completar</t>
  </si>
  <si>
    <t>No pude completar produccion_mina_tmf ni ley_mina_pct de la mina específica sin el nombre de la faena o la empresa y sin una fuente mensual pública equivalente. Lo que sí cargué son proxies públicos de actividad y producción de la minería del cobre en Chile.</t>
  </si>
  <si>
    <t>Cobertura</t>
  </si>
  <si>
    <t>Las series públicas verificadas y descargadas en esta corrida llegan hasta enero 2026. Dejé febrero 2026 con espacio reservado para que pegues tus propios datos y para completar luego el dato público cuando esté confirmado.</t>
  </si>
  <si>
    <t>Sugerencia de primer modelo</t>
  </si>
  <si>
    <t>Empieza con ln1p_dividendo_real como dependiente, y como explicativas usa ln_cobre_real, grupo_040_cobre_index, iimcu_insumos_index, dummies mensuales y un rezago del dividendo. Al principio usa la serie sin desestacionalizar y controla con dummies mensuales.</t>
  </si>
  <si>
    <t>Lectura rápida de proxies</t>
  </si>
  <si>
    <t>grupo_040_cobre_index funciona como proxy de actividad del cobre. iimcu_productos_index puede captar acumulación de inventarios de productos. iimcu_insumos_index puede captar tensión de insumos o compras para producción futura. cobre_tmf_chile y molibdeno_tmf_chile ayudan a capturar ciclo productivo y créditos por subproductos.</t>
  </si>
  <si>
    <t>Clave de colores</t>
  </si>
  <si>
    <t>Azul</t>
  </si>
  <si>
    <t>Pega aquí tus datos</t>
  </si>
  <si>
    <t>Verde</t>
  </si>
  <si>
    <t>Datos públicos ya cargados</t>
  </si>
  <si>
    <t>Amarillo</t>
  </si>
  <si>
    <t>Fórmulas y variables derivadas</t>
  </si>
  <si>
    <t>variable</t>
  </si>
  <si>
    <t>tipo</t>
  </si>
  <si>
    <t>unidad</t>
  </si>
  <si>
    <t>llenado</t>
  </si>
  <si>
    <t>descripcion</t>
  </si>
  <si>
    <t>fuente / nota</t>
  </si>
  <si>
    <t>fecha</t>
  </si>
  <si>
    <t>mes</t>
  </si>
  <si>
    <t>archivo</t>
  </si>
  <si>
    <t>Primer día de cada mes</t>
  </si>
  <si>
    <t>Rango 2021-02 a 2026-02</t>
  </si>
  <si>
    <t>dividendo_total_nominal</t>
  </si>
  <si>
    <t>nivel</t>
  </si>
  <si>
    <t>CLP nominal</t>
  </si>
  <si>
    <t>usuario</t>
  </si>
  <si>
    <t>Dividendo total repartido por la minera en el mes</t>
  </si>
  <si>
    <t>Tu serie</t>
  </si>
  <si>
    <t>ipc</t>
  </si>
  <si>
    <t>índice</t>
  </si>
  <si>
    <t>base de tu fuente</t>
  </si>
  <si>
    <t>IPC mensual para deflactar</t>
  </si>
  <si>
    <t>cobre_usd_metric_ton</t>
  </si>
  <si>
    <t>precio</t>
  </si>
  <si>
    <t>USD por tonelada métrica</t>
  </si>
  <si>
    <t>Precio del cobre mensual</t>
  </si>
  <si>
    <t>fx_clp_usd</t>
  </si>
  <si>
    <t>tipo de cambio</t>
  </si>
  <si>
    <t>CLP por USD</t>
  </si>
  <si>
    <t>Tipo de cambio promedio mensual</t>
  </si>
  <si>
    <t>anio</t>
  </si>
  <si>
    <t>derivada</t>
  </si>
  <si>
    <t>año</t>
  </si>
  <si>
    <t>fórmula</t>
  </si>
  <si>
    <t>Año de la fecha</t>
  </si>
  <si>
    <t>YEAR(fecha)</t>
  </si>
  <si>
    <t>1-12</t>
  </si>
  <si>
    <t>Mes numérico</t>
  </si>
  <si>
    <t>MONTH(fecha)</t>
  </si>
  <si>
    <t>cobre_clp_metric_ton</t>
  </si>
  <si>
    <t>CLP por tonelada métrica</t>
  </si>
  <si>
    <t>Precio del cobre en pesos</t>
  </si>
  <si>
    <t>cobre_usd_metric_ton * fx_clp_usd</t>
  </si>
  <si>
    <t>dividendo_real_base_ultimo_ipc</t>
  </si>
  <si>
    <t>CLP reales</t>
  </si>
  <si>
    <t>Dividendo deflactado usando el último IPC no vacío como base</t>
  </si>
  <si>
    <t>Útil para regresión en términos reales</t>
  </si>
  <si>
    <t>cobre_real_clp_metric_ton_base_ultimo_ipc</t>
  </si>
  <si>
    <t>CLP reales por tonelada</t>
  </si>
  <si>
    <t>Cobre en CLP reales usando el último IPC no vacío como base</t>
  </si>
  <si>
    <t>Útil para elasticidades</t>
  </si>
  <si>
    <t>cobre_bajo_q25</t>
  </si>
  <si>
    <t>dummy 0/1</t>
  </si>
  <si>
    <t>Vale 1 si el cobre en USD está en el cuartil inferior de la muestra disponible</t>
  </si>
  <si>
    <t>Útil para estudiar meses malos</t>
  </si>
  <si>
    <t>ln1p_dividendo_real</t>
  </si>
  <si>
    <t>log</t>
  </si>
  <si>
    <t>ln(1 + dividendo_real)</t>
  </si>
  <si>
    <t>Funciona bien si hay meses con cero</t>
  </si>
  <si>
    <t>ln_cobre_real</t>
  </si>
  <si>
    <t>ln(cobre_real_clp_metric_ton)</t>
  </si>
  <si>
    <t>Elasticidad aproximada</t>
  </si>
  <si>
    <t>ipmin_index</t>
  </si>
  <si>
    <t>base promedio 2018=100</t>
  </si>
  <si>
    <t>público</t>
  </si>
  <si>
    <t>Índice de Producción Minera total</t>
  </si>
  <si>
    <t>INE IPMin</t>
  </si>
  <si>
    <t>grupo_040_cobre_index</t>
  </si>
  <si>
    <t>Explotación y procesamiento de cobre</t>
  </si>
  <si>
    <t>ipmin_excl_cobre_index</t>
  </si>
  <si>
    <t>Producción minera excluyendo cobre</t>
  </si>
  <si>
    <t>iimcu_index</t>
  </si>
  <si>
    <t>base dic. 2018=100</t>
  </si>
  <si>
    <t>Índice de inventarios de la minería del cobre</t>
  </si>
  <si>
    <t>INE IIMCu</t>
  </si>
  <si>
    <t>iimcu_productos_index</t>
  </si>
  <si>
    <t>Inventarios de productos de la minería del cobre</t>
  </si>
  <si>
    <t>iimcu_insumos_index</t>
  </si>
  <si>
    <t>Inventarios de insumos industriales</t>
  </si>
  <si>
    <t>cobre_tmf_chile</t>
  </si>
  <si>
    <t>producción</t>
  </si>
  <si>
    <t>tmf</t>
  </si>
  <si>
    <t>Producción mensual de cobre de Chile</t>
  </si>
  <si>
    <t>INE IPMin, producciones principales</t>
  </si>
  <si>
    <t>molibdeno_tmf_chile</t>
  </si>
  <si>
    <t>Producción mensual de molibdeno de Chile</t>
  </si>
  <si>
    <t>oro_kg_fino_chile</t>
  </si>
  <si>
    <t>kg fino</t>
  </si>
  <si>
    <t>Producción mensual de oro</t>
  </si>
  <si>
    <t>plata_kg_fino_chile</t>
  </si>
  <si>
    <t>Producción mensual de plata</t>
  </si>
  <si>
    <t>produccion_mina_tmf</t>
  </si>
  <si>
    <t>Producción de la faena específica</t>
  </si>
  <si>
    <t>Reservado para completar si consigues el dato</t>
  </si>
  <si>
    <t>ley_mina_pct</t>
  </si>
  <si>
    <t>ley</t>
  </si>
  <si>
    <t>%</t>
  </si>
  <si>
    <t>Ley de la faena específica</t>
  </si>
  <si>
    <t>comentario</t>
  </si>
  <si>
    <t>texto</t>
  </si>
  <si>
    <t>Notas de disponibilidad o calidad del dato</t>
  </si>
  <si>
    <t>Feb-2026 quedó reservado</t>
  </si>
  <si>
    <t>fuente</t>
  </si>
  <si>
    <t>url</t>
  </si>
  <si>
    <t>cobertura / nota</t>
  </si>
  <si>
    <t>usada</t>
  </si>
  <si>
    <t>INE - series empalmadas y mensuales de minería (IPMin) a enero 2026</t>
  </si>
  <si>
    <t>https://www.ine.gob.cl/docs/default-source/mineria/cuadros-estadisticos/base-promedio-2018-100/series-empalmadas-y-mensuales-a-enero-2026.xls</t>
  </si>
  <si>
    <t>De aquí salen ipmin_index, grupo_040_cobre_index, ipmin_excl_cobre_index y las producciones mensuales de cobre, molibdeno, oro y plata.</t>
  </si>
  <si>
    <t>INE - series empalmadas y mensuales del inventario de la minería del cobre a enero 2026</t>
  </si>
  <si>
    <t>https://www.ine.gob.cl/docs/default-source/inventarios-de-la-miner%C3%ADa-del-cobre/cuadros-estadisticos/base-diciembre-2018-100/series-empalmadas-y-mensuales-a-enero-2026.xls</t>
  </si>
  <si>
    <t>De aquí salen iimcu_index, iimcu_productos_index e iimcu_insumos_index.</t>
  </si>
  <si>
    <t>referencia</t>
  </si>
  <si>
    <t>INE - estadísticas de minería</t>
  </si>
  <si>
    <t>https://www.ine.gob.cl/estadisticas/economia/mineria</t>
  </si>
  <si>
    <t>Página pública general de minería del INE.</t>
  </si>
  <si>
    <t>complementaria</t>
  </si>
  <si>
    <t>Cochilco - histórico de producción de cobre y molibdeno</t>
  </si>
  <si>
    <t>https://www.cochilco.cl/web/historico-produccion-de-cobre-y-molibdeno/</t>
  </si>
  <si>
    <t>Fuente complementaria útil para ampliar o contrastar series.</t>
  </si>
  <si>
    <t>Cochilco - histórico precio de los metales</t>
  </si>
  <si>
    <t>https://www.cochilco.cl/web/historico-precio-de-los-metales/</t>
  </si>
  <si>
    <t>Fuente complementaria útil para contrastar cobre y molibdeno.</t>
  </si>
  <si>
    <t>Cochilco - histórico inventarios mundiales de cobre</t>
  </si>
  <si>
    <t>https://www.cochilco.cl/web/historico-inventarios-mundiales-de-cobre/</t>
  </si>
  <si>
    <t>Fuente complementaria útil para agregar un control de mercado global.</t>
  </si>
  <si>
    <t>ultimo_ipc_no_vacio</t>
  </si>
  <si>
    <t>q25_cobre_usd_metric_ton</t>
  </si>
  <si>
    <t>nota</t>
  </si>
  <si>
    <t>Esta hoja queda oculta. Solo contiene referencias para fórmulas.</t>
  </si>
  <si>
    <t>regalia</t>
  </si>
  <si>
    <t>dry_tons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</si>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</sst>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"/>
    <numFmt numFmtId="165" formatCode="0.0000"/>
    <numFmt numFmtId="166" formatCode="0.000000000000"/>
    <numFmt numFmtId="167" formatCode="#,##0.000"/>
    <numFmt numFmtId="168" formatCode="#,##0.0"/>
    <numFmt numFmtId="169" formatCode="0.0000%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8000"/>
      <name val="Calibri"/>
    </font>
    <font>
      <sz val="10"/>
      <color rgb="FF000000"/>
      <name val="Calibri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C9A227"/>
      </patternFill>
    </fill>
    <fill>
      <patternFill patternType="solid">
        <fgColor rgb="FF70AD47"/>
      </patternFill>
    </fill>
    <fill>
      <patternFill patternType="solid">
        <fgColor rgb="FFF7FBFF"/>
      </patternFill>
    </fill>
    <fill>
      <patternFill patternType="solid">
        <fgColor rgb="FFE2F0EF"/>
      </patternFill>
    </fill>
    <fill>
      <patternFill patternType="solid">
        <fgColor rgb="FFE2F0EF"/>
        <bgColor rgb="FF000000"/>
      </patternFill>
    </fill>
    <fill>
      <patternFill patternType="solid">
        <fgColor rgb="FFF4F6F8"/>
        <bgColor rgb="FF000000"/>
      </patternFill>
    </fill>
    <fill>
      <patternFill patternType="solid">
        <fgColor rgb="FFF4F6F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top"/>
    </xf>
    <xf numFmtId="1" fontId="5" fillId="6" borderId="1" xfId="0" applyNumberFormat="1" applyFont="1" applyFill="1" applyBorder="1" applyAlignment="1">
      <alignment vertical="top"/>
    </xf>
    <xf numFmtId="4" fontId="5" fillId="6" borderId="1" xfId="0" applyNumberFormat="1" applyFont="1" applyFill="1" applyBorder="1" applyAlignment="1">
      <alignment vertical="top"/>
    </xf>
    <xf numFmtId="165" fontId="5" fillId="6" borderId="1" xfId="0" applyNumberFormat="1" applyFont="1" applyFill="1" applyBorder="1" applyAlignment="1">
      <alignment vertical="top"/>
    </xf>
    <xf numFmtId="165" fontId="6" fillId="5" borderId="1" xfId="0" applyNumberFormat="1" applyFont="1" applyFill="1" applyBorder="1" applyAlignment="1">
      <alignment vertical="top"/>
    </xf>
    <xf numFmtId="3" fontId="6" fillId="5" borderId="1" xfId="0" applyNumberFormat="1" applyFont="1" applyFill="1" applyBorder="1" applyAlignment="1">
      <alignment vertical="top"/>
    </xf>
    <xf numFmtId="3" fontId="4" fillId="4" borderId="1" xfId="0" applyNumberFormat="1" applyFont="1" applyFill="1" applyBorder="1" applyAlignment="1">
      <alignment vertical="top"/>
    </xf>
    <xf numFmtId="2" fontId="4" fillId="4" borderId="1" xfId="0" applyNumberFormat="1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3" fontId="0" fillId="0" borderId="0" xfId="0" applyNumberFormat="1" applyAlignment="1">
      <alignment horizontal="right"/>
    </xf>
    <xf numFmtId="3" fontId="0" fillId="10" borderId="0" xfId="0" applyNumberFormat="1" applyFill="1" applyAlignment="1">
      <alignment horizontal="right"/>
    </xf>
    <xf numFmtId="2" fontId="0" fillId="10" borderId="0" xfId="0" applyNumberFormat="1" applyFill="1" applyAlignment="1">
      <alignment horizontal="right"/>
    </xf>
    <xf numFmtId="166" fontId="0" fillId="0" borderId="0" xfId="0" applyNumberFormat="1"/>
    <xf numFmtId="165" fontId="7" fillId="11" borderId="2" xfId="0" applyNumberFormat="1" applyFont="1" applyFill="1" applyBorder="1" applyAlignment="1">
      <alignment horizontal="right" vertical="center"/>
    </xf>
    <xf numFmtId="167" fontId="7" fillId="0" borderId="2" xfId="0" applyNumberFormat="1" applyFont="1" applyBorder="1" applyAlignment="1">
      <alignment horizontal="right" vertical="center"/>
    </xf>
    <xf numFmtId="4" fontId="0" fillId="0" borderId="0" xfId="0" applyNumberFormat="1"/>
    <xf numFmtId="167" fontId="8" fillId="0" borderId="0" xfId="0" applyNumberFormat="1" applyFont="1" applyAlignment="1">
      <alignment horizontal="right" vertical="center"/>
    </xf>
    <xf numFmtId="165" fontId="8" fillId="12" borderId="0" xfId="0" applyNumberFormat="1" applyFont="1" applyFill="1" applyAlignment="1">
      <alignment horizontal="right" vertical="center"/>
    </xf>
    <xf numFmtId="168" fontId="9" fillId="13" borderId="0" xfId="0" applyNumberFormat="1" applyFont="1" applyFill="1" applyAlignment="1">
      <alignment horizontal="right"/>
    </xf>
    <xf numFmtId="0" fontId="0" fillId="0" borderId="0" xfId="0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169" fontId="9" fillId="13" borderId="0" xfId="0" applyNumberFormat="1" applyFont="1" applyFill="1" applyAlignment="1">
      <alignment horizontal="right"/>
    </xf>
    <xf numFmtId="3" fontId="4" fillId="4" borderId="3" xfId="0" applyNumberFormat="1" applyFont="1" applyFill="1" applyBorder="1" applyAlignment="1">
      <alignment vertical="top"/>
    </xf>
    <xf numFmtId="2" fontId="4" fillId="4" borderId="3" xfId="0" applyNumberFormat="1" applyFont="1" applyFill="1" applyBorder="1" applyAlignment="1">
      <alignment vertical="top"/>
    </xf>
    <xf numFmtId="0" fontId="0" fillId="3" borderId="3" xfId="0" applyFill="1" applyBorder="1" applyAlignment="1">
      <alignment vertical="top"/>
    </xf>
    <xf numFmtId="168" fontId="5" fillId="14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pane ySplit="2" topLeftCell="A3" activePane="bottomLeft" state="frozen"/>
      <selection pane="bottomLeft" sqref="A1:E1"/>
    </sheetView>
  </sheetViews>
  <sheetFormatPr baseColWidth="10" defaultColWidth="9.23046875" defaultRowHeight="14.6" x14ac:dyDescent="0.4"/>
  <cols>
    <col min="1" max="1" width="28" customWidth="1"/>
    <col min="2" max="2" width="110" customWidth="1"/>
  </cols>
  <sheetData>
    <row r="1" spans="1:5" ht="22" customHeight="1" x14ac:dyDescent="0.5">
      <c r="A1" s="47" t="s">
        <v>0</v>
      </c>
      <c r="B1" s="48"/>
      <c r="C1" s="48"/>
      <c r="D1" s="48"/>
      <c r="E1" s="48"/>
    </row>
    <row r="2" spans="1:5" ht="22" customHeight="1" x14ac:dyDescent="0.4"/>
    <row r="3" spans="1:5" ht="22" customHeight="1" x14ac:dyDescent="0.4">
      <c r="A3" s="1" t="s">
        <v>1</v>
      </c>
      <c r="B3" s="2" t="s">
        <v>2</v>
      </c>
    </row>
    <row r="4" spans="1:5" ht="22" customHeight="1" x14ac:dyDescent="0.4">
      <c r="A4" s="1" t="s">
        <v>3</v>
      </c>
      <c r="B4" s="2" t="s">
        <v>4</v>
      </c>
    </row>
    <row r="5" spans="1:5" ht="22" customHeight="1" x14ac:dyDescent="0.4">
      <c r="A5" s="1" t="s">
        <v>5</v>
      </c>
      <c r="B5" s="2" t="s">
        <v>6</v>
      </c>
    </row>
    <row r="6" spans="1:5" ht="22" customHeight="1" x14ac:dyDescent="0.4">
      <c r="A6" s="1" t="s">
        <v>7</v>
      </c>
      <c r="B6" s="2" t="s">
        <v>8</v>
      </c>
    </row>
    <row r="7" spans="1:5" ht="22" customHeight="1" x14ac:dyDescent="0.4">
      <c r="A7" s="1" t="s">
        <v>9</v>
      </c>
      <c r="B7" s="2" t="s">
        <v>10</v>
      </c>
    </row>
    <row r="8" spans="1:5" ht="22" customHeight="1" x14ac:dyDescent="0.4">
      <c r="A8" s="1" t="s">
        <v>11</v>
      </c>
      <c r="B8" s="2" t="s">
        <v>12</v>
      </c>
    </row>
    <row r="9" spans="1:5" ht="22" customHeight="1" x14ac:dyDescent="0.4">
      <c r="A9" s="1" t="s">
        <v>13</v>
      </c>
      <c r="B9" s="2" t="s">
        <v>14</v>
      </c>
    </row>
    <row r="10" spans="1:5" ht="22" customHeight="1" x14ac:dyDescent="0.4"/>
    <row r="11" spans="1:5" ht="22" customHeight="1" x14ac:dyDescent="0.4"/>
    <row r="12" spans="1:5" ht="22" customHeight="1" x14ac:dyDescent="0.4">
      <c r="A12" s="3" t="s">
        <v>15</v>
      </c>
    </row>
    <row r="13" spans="1:5" ht="22" customHeight="1" x14ac:dyDescent="0.4">
      <c r="A13" s="4" t="s">
        <v>16</v>
      </c>
      <c r="B13" s="5" t="s">
        <v>17</v>
      </c>
    </row>
    <row r="14" spans="1:5" ht="22" customHeight="1" x14ac:dyDescent="0.4">
      <c r="A14" s="6" t="s">
        <v>18</v>
      </c>
      <c r="B14" s="5" t="s">
        <v>19</v>
      </c>
    </row>
    <row r="15" spans="1:5" ht="22" customHeight="1" x14ac:dyDescent="0.4">
      <c r="A15" s="7" t="s">
        <v>20</v>
      </c>
      <c r="B15" s="5" t="s">
        <v>21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pane ySplit="1" topLeftCell="A2" activePane="bottomLeft" state="frozen"/>
      <selection pane="bottomLeft"/>
    </sheetView>
  </sheetViews>
  <sheetFormatPr baseColWidth="10" defaultColWidth="9.23046875" defaultRowHeight="14.6" x14ac:dyDescent="0.4"/>
  <cols>
    <col min="1" max="1" width="28" customWidth="1"/>
    <col min="2" max="2" width="12" customWidth="1"/>
    <col min="3" max="3" width="18" customWidth="1"/>
    <col min="4" max="4" width="12" customWidth="1"/>
    <col min="5" max="5" width="55" customWidth="1"/>
    <col min="6" max="6" width="32" customWidth="1"/>
  </cols>
  <sheetData>
    <row r="1" spans="1:6" x14ac:dyDescent="0.4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</row>
    <row r="2" spans="1:6" x14ac:dyDescent="0.4">
      <c r="A2" s="9" t="s">
        <v>28</v>
      </c>
      <c r="B2" s="10" t="s">
        <v>28</v>
      </c>
      <c r="C2" s="10" t="s">
        <v>29</v>
      </c>
      <c r="D2" s="10" t="s">
        <v>30</v>
      </c>
      <c r="E2" s="2" t="s">
        <v>31</v>
      </c>
      <c r="F2" s="2" t="s">
        <v>32</v>
      </c>
    </row>
    <row r="3" spans="1:6" x14ac:dyDescent="0.4">
      <c r="A3" s="11" t="s">
        <v>33</v>
      </c>
      <c r="B3" s="12" t="s">
        <v>34</v>
      </c>
      <c r="C3" s="12" t="s">
        <v>35</v>
      </c>
      <c r="D3" s="12" t="s">
        <v>36</v>
      </c>
      <c r="E3" s="2" t="s">
        <v>37</v>
      </c>
      <c r="F3" s="2" t="s">
        <v>38</v>
      </c>
    </row>
    <row r="4" spans="1:6" x14ac:dyDescent="0.4">
      <c r="A4" s="11" t="s">
        <v>39</v>
      </c>
      <c r="B4" s="12" t="s">
        <v>40</v>
      </c>
      <c r="C4" s="12" t="s">
        <v>41</v>
      </c>
      <c r="D4" s="12" t="s">
        <v>36</v>
      </c>
      <c r="E4" s="2" t="s">
        <v>42</v>
      </c>
      <c r="F4" s="2" t="s">
        <v>38</v>
      </c>
    </row>
    <row r="5" spans="1:6" ht="29.15" x14ac:dyDescent="0.4">
      <c r="A5" s="11" t="s">
        <v>43</v>
      </c>
      <c r="B5" s="12" t="s">
        <v>44</v>
      </c>
      <c r="C5" s="12" t="s">
        <v>45</v>
      </c>
      <c r="D5" s="12" t="s">
        <v>36</v>
      </c>
      <c r="E5" s="2" t="s">
        <v>46</v>
      </c>
      <c r="F5" s="2" t="s">
        <v>38</v>
      </c>
    </row>
    <row r="6" spans="1:6" ht="29.15" x14ac:dyDescent="0.4">
      <c r="A6" s="11" t="s">
        <v>47</v>
      </c>
      <c r="B6" s="12" t="s">
        <v>48</v>
      </c>
      <c r="C6" s="12" t="s">
        <v>49</v>
      </c>
      <c r="D6" s="12" t="s">
        <v>36</v>
      </c>
      <c r="E6" s="2" t="s">
        <v>50</v>
      </c>
      <c r="F6" s="2" t="s">
        <v>38</v>
      </c>
    </row>
    <row r="7" spans="1:6" x14ac:dyDescent="0.4">
      <c r="A7" s="13" t="s">
        <v>51</v>
      </c>
      <c r="B7" s="14" t="s">
        <v>52</v>
      </c>
      <c r="C7" s="14" t="s">
        <v>53</v>
      </c>
      <c r="D7" s="14" t="s">
        <v>54</v>
      </c>
      <c r="E7" s="2" t="s">
        <v>55</v>
      </c>
      <c r="F7" s="2" t="s">
        <v>56</v>
      </c>
    </row>
    <row r="8" spans="1:6" x14ac:dyDescent="0.4">
      <c r="A8" s="13" t="s">
        <v>29</v>
      </c>
      <c r="B8" s="14" t="s">
        <v>52</v>
      </c>
      <c r="C8" s="14" t="s">
        <v>57</v>
      </c>
      <c r="D8" s="14" t="s">
        <v>54</v>
      </c>
      <c r="E8" s="2" t="s">
        <v>58</v>
      </c>
      <c r="F8" s="2" t="s">
        <v>59</v>
      </c>
    </row>
    <row r="9" spans="1:6" ht="29.15" x14ac:dyDescent="0.4">
      <c r="A9" s="13" t="s">
        <v>60</v>
      </c>
      <c r="B9" s="14" t="s">
        <v>52</v>
      </c>
      <c r="C9" s="14" t="s">
        <v>61</v>
      </c>
      <c r="D9" s="14" t="s">
        <v>54</v>
      </c>
      <c r="E9" s="2" t="s">
        <v>62</v>
      </c>
      <c r="F9" s="2" t="s">
        <v>63</v>
      </c>
    </row>
    <row r="10" spans="1:6" ht="29.15" x14ac:dyDescent="0.4">
      <c r="A10" s="13" t="s">
        <v>64</v>
      </c>
      <c r="B10" s="14" t="s">
        <v>52</v>
      </c>
      <c r="C10" s="14" t="s">
        <v>65</v>
      </c>
      <c r="D10" s="14" t="s">
        <v>54</v>
      </c>
      <c r="E10" s="2" t="s">
        <v>66</v>
      </c>
      <c r="F10" s="2" t="s">
        <v>67</v>
      </c>
    </row>
    <row r="11" spans="1:6" ht="29.15" x14ac:dyDescent="0.4">
      <c r="A11" s="13" t="s">
        <v>68</v>
      </c>
      <c r="B11" s="14" t="s">
        <v>52</v>
      </c>
      <c r="C11" s="14" t="s">
        <v>69</v>
      </c>
      <c r="D11" s="14" t="s">
        <v>54</v>
      </c>
      <c r="E11" s="2" t="s">
        <v>70</v>
      </c>
      <c r="F11" s="2" t="s">
        <v>71</v>
      </c>
    </row>
    <row r="12" spans="1:6" ht="29.15" x14ac:dyDescent="0.4">
      <c r="A12" s="13" t="s">
        <v>72</v>
      </c>
      <c r="B12" s="14" t="s">
        <v>52</v>
      </c>
      <c r="C12" s="14" t="s">
        <v>73</v>
      </c>
      <c r="D12" s="14" t="s">
        <v>54</v>
      </c>
      <c r="E12" s="2" t="s">
        <v>74</v>
      </c>
      <c r="F12" s="2" t="s">
        <v>75</v>
      </c>
    </row>
    <row r="13" spans="1:6" x14ac:dyDescent="0.4">
      <c r="A13" s="13" t="s">
        <v>76</v>
      </c>
      <c r="B13" s="14" t="s">
        <v>52</v>
      </c>
      <c r="C13" s="14" t="s">
        <v>77</v>
      </c>
      <c r="D13" s="14" t="s">
        <v>54</v>
      </c>
      <c r="E13" s="2" t="s">
        <v>78</v>
      </c>
      <c r="F13" s="2" t="s">
        <v>79</v>
      </c>
    </row>
    <row r="14" spans="1:6" x14ac:dyDescent="0.4">
      <c r="A14" s="13" t="s">
        <v>80</v>
      </c>
      <c r="B14" s="14" t="s">
        <v>52</v>
      </c>
      <c r="C14" s="14" t="s">
        <v>77</v>
      </c>
      <c r="D14" s="14" t="s">
        <v>54</v>
      </c>
      <c r="E14" s="2" t="s">
        <v>81</v>
      </c>
      <c r="F14" s="2" t="s">
        <v>82</v>
      </c>
    </row>
    <row r="15" spans="1:6" ht="29.15" x14ac:dyDescent="0.4">
      <c r="A15" s="15" t="s">
        <v>83</v>
      </c>
      <c r="B15" s="16" t="s">
        <v>40</v>
      </c>
      <c r="C15" s="16" t="s">
        <v>84</v>
      </c>
      <c r="D15" s="16" t="s">
        <v>85</v>
      </c>
      <c r="E15" s="2" t="s">
        <v>86</v>
      </c>
      <c r="F15" s="2" t="s">
        <v>87</v>
      </c>
    </row>
    <row r="16" spans="1:6" ht="29.15" x14ac:dyDescent="0.4">
      <c r="A16" s="15" t="s">
        <v>88</v>
      </c>
      <c r="B16" s="16" t="s">
        <v>40</v>
      </c>
      <c r="C16" s="16" t="s">
        <v>84</v>
      </c>
      <c r="D16" s="16" t="s">
        <v>85</v>
      </c>
      <c r="E16" s="2" t="s">
        <v>89</v>
      </c>
      <c r="F16" s="2" t="s">
        <v>87</v>
      </c>
    </row>
    <row r="17" spans="1:6" ht="29.15" x14ac:dyDescent="0.4">
      <c r="A17" s="15" t="s">
        <v>90</v>
      </c>
      <c r="B17" s="16" t="s">
        <v>40</v>
      </c>
      <c r="C17" s="16" t="s">
        <v>84</v>
      </c>
      <c r="D17" s="16" t="s">
        <v>85</v>
      </c>
      <c r="E17" s="2" t="s">
        <v>91</v>
      </c>
      <c r="F17" s="2" t="s">
        <v>87</v>
      </c>
    </row>
    <row r="18" spans="1:6" x14ac:dyDescent="0.4">
      <c r="A18" s="15" t="s">
        <v>92</v>
      </c>
      <c r="B18" s="16" t="s">
        <v>40</v>
      </c>
      <c r="C18" s="16" t="s">
        <v>93</v>
      </c>
      <c r="D18" s="16" t="s">
        <v>85</v>
      </c>
      <c r="E18" s="2" t="s">
        <v>94</v>
      </c>
      <c r="F18" s="2" t="s">
        <v>95</v>
      </c>
    </row>
    <row r="19" spans="1:6" x14ac:dyDescent="0.4">
      <c r="A19" s="15" t="s">
        <v>96</v>
      </c>
      <c r="B19" s="16" t="s">
        <v>40</v>
      </c>
      <c r="C19" s="16" t="s">
        <v>93</v>
      </c>
      <c r="D19" s="16" t="s">
        <v>85</v>
      </c>
      <c r="E19" s="2" t="s">
        <v>97</v>
      </c>
      <c r="F19" s="2" t="s">
        <v>95</v>
      </c>
    </row>
    <row r="20" spans="1:6" x14ac:dyDescent="0.4">
      <c r="A20" s="15" t="s">
        <v>98</v>
      </c>
      <c r="B20" s="16" t="s">
        <v>40</v>
      </c>
      <c r="C20" s="16" t="s">
        <v>93</v>
      </c>
      <c r="D20" s="16" t="s">
        <v>85</v>
      </c>
      <c r="E20" s="2" t="s">
        <v>99</v>
      </c>
      <c r="F20" s="2" t="s">
        <v>95</v>
      </c>
    </row>
    <row r="21" spans="1:6" x14ac:dyDescent="0.4">
      <c r="A21" s="15" t="s">
        <v>100</v>
      </c>
      <c r="B21" s="16" t="s">
        <v>101</v>
      </c>
      <c r="C21" s="16" t="s">
        <v>102</v>
      </c>
      <c r="D21" s="16" t="s">
        <v>85</v>
      </c>
      <c r="E21" s="2" t="s">
        <v>103</v>
      </c>
      <c r="F21" s="2" t="s">
        <v>104</v>
      </c>
    </row>
    <row r="22" spans="1:6" x14ac:dyDescent="0.4">
      <c r="A22" s="15" t="s">
        <v>105</v>
      </c>
      <c r="B22" s="16" t="s">
        <v>101</v>
      </c>
      <c r="C22" s="16" t="s">
        <v>102</v>
      </c>
      <c r="D22" s="16" t="s">
        <v>85</v>
      </c>
      <c r="E22" s="2" t="s">
        <v>106</v>
      </c>
      <c r="F22" s="2" t="s">
        <v>104</v>
      </c>
    </row>
    <row r="23" spans="1:6" x14ac:dyDescent="0.4">
      <c r="A23" s="15" t="s">
        <v>107</v>
      </c>
      <c r="B23" s="16" t="s">
        <v>101</v>
      </c>
      <c r="C23" s="16" t="s">
        <v>108</v>
      </c>
      <c r="D23" s="16" t="s">
        <v>85</v>
      </c>
      <c r="E23" s="2" t="s">
        <v>109</v>
      </c>
      <c r="F23" s="2" t="s">
        <v>104</v>
      </c>
    </row>
    <row r="24" spans="1:6" x14ac:dyDescent="0.4">
      <c r="A24" s="15" t="s">
        <v>110</v>
      </c>
      <c r="B24" s="16" t="s">
        <v>101</v>
      </c>
      <c r="C24" s="16" t="s">
        <v>108</v>
      </c>
      <c r="D24" s="16" t="s">
        <v>85</v>
      </c>
      <c r="E24" s="2" t="s">
        <v>111</v>
      </c>
      <c r="F24" s="2" t="s">
        <v>104</v>
      </c>
    </row>
    <row r="25" spans="1:6" ht="29.15" x14ac:dyDescent="0.4">
      <c r="A25" s="11" t="s">
        <v>112</v>
      </c>
      <c r="B25" s="12" t="s">
        <v>101</v>
      </c>
      <c r="C25" s="12" t="s">
        <v>102</v>
      </c>
      <c r="D25" s="12" t="s">
        <v>36</v>
      </c>
      <c r="E25" s="2" t="s">
        <v>113</v>
      </c>
      <c r="F25" s="2" t="s">
        <v>114</v>
      </c>
    </row>
    <row r="26" spans="1:6" ht="29.15" x14ac:dyDescent="0.4">
      <c r="A26" s="11" t="s">
        <v>115</v>
      </c>
      <c r="B26" s="12" t="s">
        <v>116</v>
      </c>
      <c r="C26" s="12" t="s">
        <v>117</v>
      </c>
      <c r="D26" s="12" t="s">
        <v>36</v>
      </c>
      <c r="E26" s="2" t="s">
        <v>118</v>
      </c>
      <c r="F26" s="2" t="s">
        <v>114</v>
      </c>
    </row>
    <row r="27" spans="1:6" x14ac:dyDescent="0.4">
      <c r="A27" s="9" t="s">
        <v>119</v>
      </c>
      <c r="B27" s="10" t="s">
        <v>120</v>
      </c>
      <c r="C27" s="10"/>
      <c r="D27" s="10" t="s">
        <v>30</v>
      </c>
      <c r="E27" s="2" t="s">
        <v>121</v>
      </c>
      <c r="F27" s="2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/>
    </sheetView>
  </sheetViews>
  <sheetFormatPr baseColWidth="10" defaultColWidth="9.23046875" defaultRowHeight="14.6" x14ac:dyDescent="0.4"/>
  <cols>
    <col min="1" max="1" width="15" customWidth="1"/>
    <col min="2" max="2" width="48" customWidth="1"/>
    <col min="3" max="3" width="95" customWidth="1"/>
    <col min="4" max="4" width="55" customWidth="1"/>
  </cols>
  <sheetData>
    <row r="1" spans="1:4" x14ac:dyDescent="0.4">
      <c r="A1" s="8" t="s">
        <v>23</v>
      </c>
      <c r="B1" s="8" t="s">
        <v>123</v>
      </c>
      <c r="C1" s="8" t="s">
        <v>124</v>
      </c>
      <c r="D1" s="8" t="s">
        <v>125</v>
      </c>
    </row>
    <row r="2" spans="1:4" ht="43.75" x14ac:dyDescent="0.4">
      <c r="A2" s="15" t="s">
        <v>126</v>
      </c>
      <c r="B2" s="2" t="s">
        <v>127</v>
      </c>
      <c r="C2" s="2" t="s">
        <v>128</v>
      </c>
      <c r="D2" s="2" t="s">
        <v>129</v>
      </c>
    </row>
    <row r="3" spans="1:4" ht="29.15" x14ac:dyDescent="0.4">
      <c r="A3" s="15" t="s">
        <v>126</v>
      </c>
      <c r="B3" s="2" t="s">
        <v>130</v>
      </c>
      <c r="C3" s="2" t="s">
        <v>131</v>
      </c>
      <c r="D3" s="2" t="s">
        <v>132</v>
      </c>
    </row>
    <row r="4" spans="1:4" x14ac:dyDescent="0.4">
      <c r="A4" s="17" t="s">
        <v>133</v>
      </c>
      <c r="B4" s="2" t="s">
        <v>134</v>
      </c>
      <c r="C4" s="2" t="s">
        <v>135</v>
      </c>
      <c r="D4" s="2" t="s">
        <v>136</v>
      </c>
    </row>
    <row r="5" spans="1:4" x14ac:dyDescent="0.4">
      <c r="A5" s="9" t="s">
        <v>137</v>
      </c>
      <c r="B5" s="2" t="s">
        <v>138</v>
      </c>
      <c r="C5" s="2" t="s">
        <v>139</v>
      </c>
      <c r="D5" s="2" t="s">
        <v>140</v>
      </c>
    </row>
    <row r="6" spans="1:4" x14ac:dyDescent="0.4">
      <c r="A6" s="9" t="s">
        <v>137</v>
      </c>
      <c r="B6" s="2" t="s">
        <v>141</v>
      </c>
      <c r="C6" s="2" t="s">
        <v>142</v>
      </c>
      <c r="D6" s="2" t="s">
        <v>143</v>
      </c>
    </row>
    <row r="7" spans="1:4" ht="29.15" x14ac:dyDescent="0.4">
      <c r="A7" s="9" t="s">
        <v>137</v>
      </c>
      <c r="B7" s="2" t="s">
        <v>144</v>
      </c>
      <c r="C7" s="2" t="s">
        <v>145</v>
      </c>
      <c r="D7" s="2" t="s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9.23046875" defaultRowHeight="14.6" x14ac:dyDescent="0.4"/>
  <sheetData>
    <row r="1" spans="1:2" x14ac:dyDescent="0.4">
      <c r="A1" t="s">
        <v>147</v>
      </c>
      <c r="B1">
        <f>LOOKUP(2,1/(panel_regresion!$C$2:$C$77&lt;&gt;""),panel_regresion!$C$2:$C$77)</f>
        <v>109.7</v>
      </c>
    </row>
    <row r="2" spans="1:2" x14ac:dyDescent="0.4">
      <c r="A2" t="s">
        <v>148</v>
      </c>
      <c r="B2" t="e">
        <f ca="1">_xludf.PERCENTILE.INC(panel_regresion!$D$2:$D$77,0.25)</f>
        <v>#NAME?</v>
      </c>
    </row>
    <row r="3" spans="1:2" x14ac:dyDescent="0.4">
      <c r="A3" t="s">
        <v>149</v>
      </c>
      <c r="B3" t="s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9"/>
  <sheetViews>
    <sheetView tabSelected="1" zoomScaleNormal="100" workbookViewId="0">
      <pane ySplit="1" topLeftCell="A64" activePane="bottomLeft" state="frozen"/>
      <selection pane="bottomLeft" activeCell="B80" sqref="B80"/>
    </sheetView>
  </sheetViews>
  <sheetFormatPr baseColWidth="10" defaultColWidth="9.23046875" defaultRowHeight="14.6" x14ac:dyDescent="0.4"/>
  <cols>
    <col min="1" max="1" width="12" customWidth="1"/>
    <col min="2" max="2" width="20" customWidth="1"/>
    <col min="3" max="3" width="12" customWidth="1"/>
    <col min="4" max="4" width="20" customWidth="1"/>
    <col min="5" max="5" width="17.4609375" bestFit="1" customWidth="1"/>
    <col min="6" max="7" width="8" customWidth="1"/>
    <col min="8" max="8" width="18" customWidth="1"/>
    <col min="9" max="9" width="26.3828125" bestFit="1" customWidth="1"/>
    <col min="10" max="10" width="24" customWidth="1"/>
    <col min="11" max="11" width="17.765625" bestFit="1" customWidth="1"/>
    <col min="12" max="12" width="16" customWidth="1"/>
    <col min="13" max="14" width="14" customWidth="1"/>
    <col min="15" max="16" width="20" customWidth="1"/>
    <col min="17" max="17" width="12" customWidth="1"/>
    <col min="18" max="18" width="20" customWidth="1"/>
    <col min="19" max="19" width="18" customWidth="1"/>
    <col min="20" max="20" width="14" customWidth="1"/>
    <col min="21" max="24" width="16" customWidth="1"/>
    <col min="25" max="25" width="12" customWidth="1"/>
    <col min="26" max="26" width="46" customWidth="1"/>
  </cols>
  <sheetData>
    <row r="1" spans="1:27" ht="32.049999999999997" customHeight="1" x14ac:dyDescent="0.4">
      <c r="A1" s="8" t="s">
        <v>28</v>
      </c>
      <c r="B1" s="18" t="s">
        <v>33</v>
      </c>
      <c r="C1" s="18" t="s">
        <v>39</v>
      </c>
      <c r="D1" s="18" t="s">
        <v>43</v>
      </c>
      <c r="E1" s="18" t="s">
        <v>47</v>
      </c>
      <c r="F1" s="19" t="s">
        <v>51</v>
      </c>
      <c r="G1" s="19" t="s">
        <v>29</v>
      </c>
      <c r="H1" s="19" t="s">
        <v>60</v>
      </c>
      <c r="I1" s="19" t="s">
        <v>64</v>
      </c>
      <c r="J1" s="19" t="s">
        <v>68</v>
      </c>
      <c r="K1" s="19" t="s">
        <v>72</v>
      </c>
      <c r="L1" s="19" t="s">
        <v>76</v>
      </c>
      <c r="M1" s="19" t="s">
        <v>80</v>
      </c>
      <c r="N1" s="20" t="s">
        <v>83</v>
      </c>
      <c r="O1" s="20" t="s">
        <v>88</v>
      </c>
      <c r="P1" s="20" t="s">
        <v>90</v>
      </c>
      <c r="Q1" s="20" t="s">
        <v>92</v>
      </c>
      <c r="R1" s="20" t="s">
        <v>96</v>
      </c>
      <c r="S1" s="20" t="s">
        <v>98</v>
      </c>
      <c r="T1" s="20" t="s">
        <v>100</v>
      </c>
      <c r="U1" s="20" t="s">
        <v>105</v>
      </c>
      <c r="V1" s="20" t="s">
        <v>107</v>
      </c>
      <c r="W1" s="20" t="s">
        <v>110</v>
      </c>
      <c r="X1" s="18" t="s">
        <v>152</v>
      </c>
      <c r="Y1" s="18" t="s">
        <v>153</v>
      </c>
      <c r="Z1" s="8" t="s">
        <v>151</v>
      </c>
    </row>
    <row r="2" spans="1:27" x14ac:dyDescent="0.4">
      <c r="A2" s="21">
        <v>43790</v>
      </c>
      <c r="B2" s="30"/>
      <c r="C2" s="40">
        <v>78.03</v>
      </c>
      <c r="D2" s="41">
        <v>5859.95</v>
      </c>
      <c r="E2" s="40">
        <v>776.53</v>
      </c>
      <c r="F2" s="22">
        <f t="shared" ref="F2:F16" si="0">YEAR(A2)</f>
        <v>2019</v>
      </c>
      <c r="G2" s="22">
        <f t="shared" ref="G2:G16" si="1">MONTH(A2)</f>
        <v>11</v>
      </c>
      <c r="H2" s="23">
        <f t="shared" ref="H2:H16" si="2">IF(OR(D2="",E2=""),"",D2*E2)</f>
        <v>4550426.9734999994</v>
      </c>
      <c r="I2" s="23" t="str">
        <f>IF(OR(B2="",C2="",config!$B$1=""),"",B2/(C2/config!$B$1))</f>
        <v/>
      </c>
      <c r="J2" s="23">
        <f>IF(OR(H2="",C2="",config!$B$1=""),"",H2/(C2/config!$B$1))</f>
        <v>6397306.6640131995</v>
      </c>
      <c r="K2" s="22"/>
      <c r="L2" s="24" t="str">
        <f t="shared" ref="L2:L16" si="3">IF(I2="","",LN(1+MAX(0,I2)))</f>
        <v/>
      </c>
      <c r="M2" s="24">
        <f t="shared" ref="M2:M16" si="4">IF(J2="","",LN(J2))</f>
        <v>15.67138762600659</v>
      </c>
      <c r="N2" s="25">
        <v>86.628279927630672</v>
      </c>
      <c r="O2" s="25">
        <v>85.713078412995515</v>
      </c>
      <c r="P2" s="25">
        <v>94.031056213911327</v>
      </c>
      <c r="Q2" s="25">
        <v>108.461857753166</v>
      </c>
      <c r="R2" s="25">
        <v>102.6852025869492</v>
      </c>
      <c r="S2" s="25">
        <v>134.15572847194059</v>
      </c>
      <c r="T2" s="26">
        <v>427846</v>
      </c>
      <c r="U2" s="26">
        <v>3709</v>
      </c>
      <c r="V2" s="26">
        <v>2161</v>
      </c>
      <c r="W2" s="26">
        <v>92996</v>
      </c>
      <c r="X2" s="39">
        <v>2106.6999999999998</v>
      </c>
      <c r="Y2" s="28">
        <v>2.21</v>
      </c>
      <c r="Z2" s="29">
        <f t="shared" ref="Z2:Z16" si="5">IF(Y2&lt;=2.41,10%,15%)</f>
        <v>0.1</v>
      </c>
    </row>
    <row r="3" spans="1:27" x14ac:dyDescent="0.4">
      <c r="A3" s="21">
        <v>43821</v>
      </c>
      <c r="B3" s="30"/>
      <c r="C3" s="40">
        <v>78.099999999999994</v>
      </c>
      <c r="D3" s="41">
        <v>6077.06</v>
      </c>
      <c r="E3" s="40">
        <v>770.39</v>
      </c>
      <c r="F3" s="22">
        <f t="shared" ref="F3:F4" si="6">YEAR(A3)</f>
        <v>2019</v>
      </c>
      <c r="G3" s="22">
        <f t="shared" ref="G3:G4" si="7">MONTH(A3)</f>
        <v>12</v>
      </c>
      <c r="H3" s="23">
        <f t="shared" si="2"/>
        <v>4681706.2533999998</v>
      </c>
      <c r="I3" s="23" t="str">
        <f>IF(OR(B3="",C3="",config!$B$1=""),"",B3/(C3/config!$B$1))</f>
        <v/>
      </c>
      <c r="J3" s="23">
        <f>IF(OR(H3="",C3="",config!$B$1=""),"",H3/(C3/config!$B$1))</f>
        <v>6575968.962842254</v>
      </c>
      <c r="K3" s="22"/>
      <c r="L3" s="24" t="str">
        <f t="shared" si="3"/>
        <v/>
      </c>
      <c r="M3" s="24">
        <f t="shared" si="4"/>
        <v>15.698932495944584</v>
      </c>
      <c r="N3" s="25">
        <v>86.628279927630672</v>
      </c>
      <c r="O3" s="25">
        <v>85.713078412995515</v>
      </c>
      <c r="P3" s="25">
        <v>94.031056213911327</v>
      </c>
      <c r="Q3" s="25">
        <v>108.461857753166</v>
      </c>
      <c r="R3" s="25">
        <v>102.6852025869492</v>
      </c>
      <c r="S3" s="25">
        <v>134.15572847194059</v>
      </c>
      <c r="T3" s="26">
        <v>427846</v>
      </c>
      <c r="U3" s="26">
        <v>3709</v>
      </c>
      <c r="V3" s="26">
        <v>2161</v>
      </c>
      <c r="W3" s="26">
        <v>92996</v>
      </c>
      <c r="X3" s="39">
        <v>2616.8000000000002</v>
      </c>
      <c r="Y3" s="28">
        <v>2.4700000000000002</v>
      </c>
      <c r="Z3" s="29"/>
    </row>
    <row r="4" spans="1:27" x14ac:dyDescent="0.4">
      <c r="A4" s="21">
        <v>43853</v>
      </c>
      <c r="B4" s="30"/>
      <c r="C4" s="40">
        <v>78.55</v>
      </c>
      <c r="D4" s="41">
        <v>6031.21</v>
      </c>
      <c r="E4" s="40">
        <v>772.65</v>
      </c>
      <c r="F4" s="22">
        <f t="shared" si="6"/>
        <v>2020</v>
      </c>
      <c r="G4" s="22">
        <f t="shared" si="7"/>
        <v>1</v>
      </c>
      <c r="H4" s="23">
        <f t="shared" ref="H4" si="8">IF(OR(D4="",E4=""),"",D4*E4)</f>
        <v>4660014.4064999996</v>
      </c>
      <c r="I4" s="23" t="str">
        <f>IF(OR(B4="",C4="",config!$B$1=""),"",B4/(C4/config!$B$1))</f>
        <v/>
      </c>
      <c r="J4" s="23">
        <f>IF(OR(H4="",C4="",config!$B$1=""),"",H4/(C4/config!$B$1))</f>
        <v>6508002.2965378743</v>
      </c>
      <c r="K4" s="22"/>
      <c r="L4" s="24" t="str">
        <f t="shared" ref="L4" si="9">IF(I4="","",LN(1+MAX(0,I4)))</f>
        <v/>
      </c>
      <c r="M4" s="24">
        <f t="shared" ref="M4" si="10">IF(J4="","",LN(J4))</f>
        <v>15.68854310020021</v>
      </c>
      <c r="N4" s="25">
        <v>86.628279927630672</v>
      </c>
      <c r="O4" s="25">
        <v>85.713078412995515</v>
      </c>
      <c r="P4" s="25">
        <v>94.031056213911327</v>
      </c>
      <c r="Q4" s="25">
        <v>108.461857753166</v>
      </c>
      <c r="R4" s="25">
        <v>102.6852025869492</v>
      </c>
      <c r="S4" s="25">
        <v>134.15572847194059</v>
      </c>
      <c r="T4" s="26">
        <v>427846</v>
      </c>
      <c r="U4" s="26">
        <v>3709</v>
      </c>
      <c r="V4" s="26">
        <v>2161</v>
      </c>
      <c r="W4" s="26">
        <v>92996</v>
      </c>
      <c r="X4" s="39">
        <v>2657.7</v>
      </c>
      <c r="Y4" s="28">
        <v>2.0499999999999998</v>
      </c>
      <c r="Z4" s="29">
        <f t="shared" ref="Z4" si="11">IF(Y4&lt;=2.41,10%,15%)</f>
        <v>0.1</v>
      </c>
    </row>
    <row r="5" spans="1:27" ht="17.149999999999999" customHeight="1" x14ac:dyDescent="0.4">
      <c r="A5" s="21">
        <v>43885</v>
      </c>
      <c r="B5" s="30"/>
      <c r="C5" s="40">
        <v>78.900000000000006</v>
      </c>
      <c r="D5" s="41">
        <v>5687.75</v>
      </c>
      <c r="E5" s="40">
        <v>796.38</v>
      </c>
      <c r="F5" s="22">
        <f t="shared" si="0"/>
        <v>2020</v>
      </c>
      <c r="G5" s="22">
        <f t="shared" si="1"/>
        <v>2</v>
      </c>
      <c r="H5" s="23">
        <f t="shared" si="2"/>
        <v>4529610.3449999997</v>
      </c>
      <c r="I5" s="23" t="str">
        <f>IF(OR(B5="",C5="",config!$B$1=""),"",B5/(C5/config!$B$1))</f>
        <v/>
      </c>
      <c r="J5" s="23">
        <f>IF(OR(H5="",C5="",config!$B$1=""),"",H5/(C5/config!$B$1))</f>
        <v>6297823.2553422041</v>
      </c>
      <c r="K5" s="22"/>
      <c r="L5" s="24" t="str">
        <f t="shared" si="3"/>
        <v/>
      </c>
      <c r="M5" s="24">
        <f t="shared" si="4"/>
        <v>15.655714616632645</v>
      </c>
      <c r="N5" s="25">
        <v>86.628279927630672</v>
      </c>
      <c r="O5" s="25">
        <v>85.713078412995515</v>
      </c>
      <c r="P5" s="25">
        <v>94.031056213911327</v>
      </c>
      <c r="Q5" s="25">
        <v>108.461857753166</v>
      </c>
      <c r="R5" s="25">
        <v>102.6852025869492</v>
      </c>
      <c r="S5" s="25">
        <v>134.15572847194059</v>
      </c>
      <c r="T5" s="26">
        <v>427846</v>
      </c>
      <c r="U5" s="26">
        <v>3709</v>
      </c>
      <c r="V5" s="26">
        <v>2161</v>
      </c>
      <c r="W5" s="26">
        <v>92996</v>
      </c>
      <c r="X5" s="27">
        <v>876</v>
      </c>
      <c r="Y5" s="28">
        <v>1.7</v>
      </c>
      <c r="Z5" s="29">
        <f t="shared" si="5"/>
        <v>0.1</v>
      </c>
    </row>
    <row r="6" spans="1:27" x14ac:dyDescent="0.4">
      <c r="A6" s="21">
        <v>43916</v>
      </c>
      <c r="B6" s="30"/>
      <c r="C6" s="40">
        <v>79.16</v>
      </c>
      <c r="D6" s="41">
        <v>5182.63</v>
      </c>
      <c r="E6" s="40">
        <v>839.38</v>
      </c>
      <c r="F6" s="22">
        <f t="shared" si="0"/>
        <v>2020</v>
      </c>
      <c r="G6" s="22">
        <f t="shared" si="1"/>
        <v>3</v>
      </c>
      <c r="H6" s="23">
        <f t="shared" si="2"/>
        <v>4350195.9693999998</v>
      </c>
      <c r="I6" s="23" t="str">
        <f>IF(OR(B6="",C6="",config!$B$1=""),"",B6/(C6/config!$B$1))</f>
        <v/>
      </c>
      <c r="J6" s="23">
        <f>IF(OR(H6="",C6="",config!$B$1=""),"",H6/(C6/config!$B$1))</f>
        <v>6028505.5311164735</v>
      </c>
      <c r="K6" s="22"/>
      <c r="L6" s="24" t="str">
        <f t="shared" si="3"/>
        <v/>
      </c>
      <c r="M6" s="24">
        <f t="shared" si="4"/>
        <v>15.612009699033727</v>
      </c>
      <c r="N6" s="25">
        <v>86.628279927630672</v>
      </c>
      <c r="O6" s="25">
        <v>85.713078412995515</v>
      </c>
      <c r="P6" s="25">
        <v>94.031056213911327</v>
      </c>
      <c r="Q6" s="25">
        <v>108.461857753166</v>
      </c>
      <c r="R6" s="25">
        <v>102.6852025869492</v>
      </c>
      <c r="S6" s="25">
        <v>134.15572847194059</v>
      </c>
      <c r="T6" s="26">
        <v>427846</v>
      </c>
      <c r="U6" s="26">
        <v>3709</v>
      </c>
      <c r="V6" s="26">
        <v>2161</v>
      </c>
      <c r="W6" s="26">
        <v>92996</v>
      </c>
      <c r="X6" s="27"/>
      <c r="Y6" s="28"/>
      <c r="Z6" s="29">
        <f t="shared" si="5"/>
        <v>0.1</v>
      </c>
    </row>
    <row r="7" spans="1:27" x14ac:dyDescent="0.4">
      <c r="A7" s="21">
        <v>43947</v>
      </c>
      <c r="B7" s="30"/>
      <c r="C7" s="40">
        <v>79.13</v>
      </c>
      <c r="D7" s="41">
        <v>5057.97</v>
      </c>
      <c r="E7" s="40">
        <v>853.38</v>
      </c>
      <c r="F7" s="22">
        <f t="shared" si="0"/>
        <v>2020</v>
      </c>
      <c r="G7" s="22">
        <f t="shared" si="1"/>
        <v>4</v>
      </c>
      <c r="H7" s="23">
        <f t="shared" si="2"/>
        <v>4316370.4386</v>
      </c>
      <c r="I7" s="23" t="str">
        <f>IF(OR(B7="",C7="",config!$B$1=""),"",B7/(C7/config!$B$1))</f>
        <v/>
      </c>
      <c r="J7" s="23">
        <f>IF(OR(H7="",C7="",config!$B$1=""),"",H7/(C7/config!$B$1))</f>
        <v>5983897.8530825237</v>
      </c>
      <c r="K7" s="22"/>
      <c r="L7" s="24" t="str">
        <f t="shared" si="3"/>
        <v/>
      </c>
      <c r="M7" s="24">
        <f t="shared" si="4"/>
        <v>15.604582728484493</v>
      </c>
      <c r="N7" s="25">
        <v>86.628279927630672</v>
      </c>
      <c r="O7" s="25">
        <v>85.713078412995515</v>
      </c>
      <c r="P7" s="25">
        <v>94.031056213911327</v>
      </c>
      <c r="Q7" s="25">
        <v>108.461857753166</v>
      </c>
      <c r="R7" s="25">
        <v>102.6852025869492</v>
      </c>
      <c r="S7" s="25">
        <v>134.15572847194059</v>
      </c>
      <c r="T7" s="26">
        <v>427846</v>
      </c>
      <c r="U7" s="26">
        <v>3709</v>
      </c>
      <c r="V7" s="26">
        <v>2161</v>
      </c>
      <c r="W7" s="26">
        <v>92996</v>
      </c>
      <c r="X7" s="27"/>
      <c r="Y7" s="28"/>
      <c r="Z7" s="29">
        <f t="shared" si="5"/>
        <v>0.1</v>
      </c>
    </row>
    <row r="8" spans="1:27" x14ac:dyDescent="0.4">
      <c r="A8" s="21">
        <v>43978</v>
      </c>
      <c r="B8" s="30"/>
      <c r="C8" s="40">
        <v>79.09</v>
      </c>
      <c r="D8" s="41">
        <v>5239.83</v>
      </c>
      <c r="E8" s="40">
        <v>821.81</v>
      </c>
      <c r="F8" s="22">
        <f t="shared" si="0"/>
        <v>2020</v>
      </c>
      <c r="G8" s="22">
        <f t="shared" si="1"/>
        <v>5</v>
      </c>
      <c r="H8" s="23">
        <f t="shared" si="2"/>
        <v>4306144.6922999993</v>
      </c>
      <c r="I8" s="23" t="str">
        <f>IF(OR(B8="",C8="",config!$B$1=""),"",B8/(C8/config!$B$1))</f>
        <v/>
      </c>
      <c r="J8" s="23">
        <f>IF(OR(H8="",C8="",config!$B$1=""),"",H8/(C8/config!$B$1))</f>
        <v>5972740.8363296231</v>
      </c>
      <c r="K8" s="22"/>
      <c r="L8" s="24" t="str">
        <f t="shared" si="3"/>
        <v/>
      </c>
      <c r="M8" s="24">
        <f t="shared" si="4"/>
        <v>15.602716481576659</v>
      </c>
      <c r="N8" s="25">
        <v>86.628279927630672</v>
      </c>
      <c r="O8" s="25">
        <v>85.713078412995515</v>
      </c>
      <c r="P8" s="25">
        <v>94.031056213911327</v>
      </c>
      <c r="Q8" s="25">
        <v>108.461857753166</v>
      </c>
      <c r="R8" s="25">
        <v>102.6852025869492</v>
      </c>
      <c r="S8" s="25">
        <v>134.15572847194059</v>
      </c>
      <c r="T8" s="26">
        <v>427846</v>
      </c>
      <c r="U8" s="26">
        <v>3709</v>
      </c>
      <c r="V8" s="26">
        <v>2161</v>
      </c>
      <c r="W8" s="26">
        <v>92996</v>
      </c>
      <c r="X8" s="39"/>
      <c r="Y8" s="28"/>
      <c r="Z8" s="29">
        <f t="shared" si="5"/>
        <v>0.1</v>
      </c>
      <c r="AA8" s="42"/>
    </row>
    <row r="9" spans="1:27" x14ac:dyDescent="0.4">
      <c r="A9" s="21">
        <v>44009</v>
      </c>
      <c r="B9" s="30"/>
      <c r="C9" s="40">
        <v>79.03</v>
      </c>
      <c r="D9" s="41">
        <v>5754.6</v>
      </c>
      <c r="E9" s="40">
        <v>793.72</v>
      </c>
      <c r="F9" s="22">
        <f t="shared" si="0"/>
        <v>2020</v>
      </c>
      <c r="G9" s="22">
        <f t="shared" si="1"/>
        <v>6</v>
      </c>
      <c r="H9" s="23">
        <f t="shared" si="2"/>
        <v>4567541.1120000007</v>
      </c>
      <c r="I9" s="23" t="str">
        <f>IF(OR(B9="",C9="",config!$B$1=""),"",B9/(C9/config!$B$1))</f>
        <v/>
      </c>
      <c r="J9" s="23">
        <f>IF(OR(H9="",C9="",config!$B$1=""),"",H9/(C9/config!$B$1))</f>
        <v>6340114.639838038</v>
      </c>
      <c r="K9" s="22"/>
      <c r="L9" s="24" t="str">
        <f t="shared" si="3"/>
        <v/>
      </c>
      <c r="M9" s="24">
        <f t="shared" si="4"/>
        <v>15.662407408243313</v>
      </c>
      <c r="N9" s="25">
        <v>86.628279927630672</v>
      </c>
      <c r="O9" s="25">
        <v>85.713078412995515</v>
      </c>
      <c r="P9" s="25">
        <v>94.031056213911327</v>
      </c>
      <c r="Q9" s="25">
        <v>108.461857753166</v>
      </c>
      <c r="R9" s="25">
        <v>102.6852025869492</v>
      </c>
      <c r="S9" s="25">
        <v>134.15572847194059</v>
      </c>
      <c r="T9" s="26">
        <v>427846</v>
      </c>
      <c r="U9" s="26">
        <v>3709</v>
      </c>
      <c r="V9" s="26">
        <v>2161</v>
      </c>
      <c r="W9" s="26">
        <v>92996</v>
      </c>
      <c r="X9" s="39">
        <v>2315</v>
      </c>
      <c r="Y9" s="28">
        <v>3.6164000000000001</v>
      </c>
      <c r="Z9" s="29">
        <f t="shared" si="5"/>
        <v>0.15</v>
      </c>
      <c r="AA9" s="42"/>
    </row>
    <row r="10" spans="1:27" x14ac:dyDescent="0.4">
      <c r="A10" s="21">
        <v>44040</v>
      </c>
      <c r="B10" s="30">
        <v>12000000</v>
      </c>
      <c r="C10" s="40">
        <v>79.11</v>
      </c>
      <c r="D10" s="41">
        <v>6372.46</v>
      </c>
      <c r="E10" s="40">
        <v>784.73</v>
      </c>
      <c r="F10" s="22">
        <f t="shared" si="0"/>
        <v>2020</v>
      </c>
      <c r="G10" s="22">
        <f t="shared" si="1"/>
        <v>7</v>
      </c>
      <c r="H10" s="23">
        <f t="shared" si="2"/>
        <v>5000660.5357999997</v>
      </c>
      <c r="I10" s="23">
        <f>IF(OR(B10="",C10="",config!$B$1=""),"",B10/(C10/config!$B$1))</f>
        <v>16640121.350018963</v>
      </c>
      <c r="J10" s="23">
        <f>IF(OR(H10="",C10="",config!$B$1=""),"",H10/(C10/config!$B$1))</f>
        <v>6934299.8454969032</v>
      </c>
      <c r="K10" s="22"/>
      <c r="L10" s="24">
        <f t="shared" si="3"/>
        <v>16.627327346095868</v>
      </c>
      <c r="M10" s="24">
        <f t="shared" si="4"/>
        <v>15.751990647080872</v>
      </c>
      <c r="N10" s="25">
        <v>86.628279927630672</v>
      </c>
      <c r="O10" s="25">
        <v>85.713078412995515</v>
      </c>
      <c r="P10" s="25">
        <v>94.031056213911327</v>
      </c>
      <c r="Q10" s="25">
        <v>108.461857753166</v>
      </c>
      <c r="R10" s="25">
        <v>102.6852025869492</v>
      </c>
      <c r="S10" s="25">
        <v>134.15572847194059</v>
      </c>
      <c r="T10" s="26">
        <v>427846</v>
      </c>
      <c r="U10" s="26">
        <v>3709</v>
      </c>
      <c r="V10" s="26">
        <v>2161</v>
      </c>
      <c r="W10" s="26">
        <v>92996</v>
      </c>
      <c r="X10" s="39">
        <v>1179.3</v>
      </c>
      <c r="Y10" s="28">
        <v>3.5253999999999999</v>
      </c>
      <c r="Z10" s="29">
        <f t="shared" si="5"/>
        <v>0.15</v>
      </c>
      <c r="AA10" s="42"/>
    </row>
    <row r="11" spans="1:27" x14ac:dyDescent="0.4">
      <c r="A11" s="21">
        <v>44071</v>
      </c>
      <c r="B11" s="30">
        <v>24000000</v>
      </c>
      <c r="C11" s="40">
        <v>79.22</v>
      </c>
      <c r="D11" s="41">
        <v>6508.39</v>
      </c>
      <c r="E11" s="40">
        <v>784.66</v>
      </c>
      <c r="F11" s="22">
        <f t="shared" si="0"/>
        <v>2020</v>
      </c>
      <c r="G11" s="22">
        <f t="shared" si="1"/>
        <v>8</v>
      </c>
      <c r="H11" s="23">
        <f t="shared" si="2"/>
        <v>5106873.2974000005</v>
      </c>
      <c r="I11" s="23">
        <f>IF(OR(B11="",C11="",config!$B$1=""),"",B11/(C11/config!$B$1))</f>
        <v>33234031.810148954</v>
      </c>
      <c r="J11" s="23">
        <f>IF(OR(H11="",C11="",config!$B$1=""),"",H11/(C11/config!$B$1))</f>
        <v>7071749.5673413286</v>
      </c>
      <c r="K11" s="22"/>
      <c r="L11" s="24">
        <f t="shared" si="3"/>
        <v>17.319084993489273</v>
      </c>
      <c r="M11" s="24">
        <f t="shared" si="4"/>
        <v>15.771618470814758</v>
      </c>
      <c r="N11" s="25">
        <v>86.628279927630672</v>
      </c>
      <c r="O11" s="25">
        <v>85.713078412995515</v>
      </c>
      <c r="P11" s="25">
        <v>94.031056213911327</v>
      </c>
      <c r="Q11" s="25">
        <v>108.461857753166</v>
      </c>
      <c r="R11" s="25">
        <v>102.6852025869492</v>
      </c>
      <c r="S11" s="25">
        <v>134.15572847194059</v>
      </c>
      <c r="T11" s="26">
        <v>427846</v>
      </c>
      <c r="U11" s="26">
        <v>3709</v>
      </c>
      <c r="V11" s="26">
        <v>2161</v>
      </c>
      <c r="W11" s="26">
        <v>92996</v>
      </c>
      <c r="X11" s="39">
        <v>2985.1</v>
      </c>
      <c r="Y11" s="28">
        <v>2.73</v>
      </c>
      <c r="Z11" s="29">
        <f t="shared" si="5"/>
        <v>0.15</v>
      </c>
      <c r="AA11" s="42"/>
    </row>
    <row r="12" spans="1:27" x14ac:dyDescent="0.4">
      <c r="A12" s="21">
        <v>44102</v>
      </c>
      <c r="B12" s="30">
        <v>28608000</v>
      </c>
      <c r="C12" s="40">
        <v>79.72</v>
      </c>
      <c r="D12" s="41">
        <v>6704.9</v>
      </c>
      <c r="E12" s="40">
        <v>773.4</v>
      </c>
      <c r="F12" s="22">
        <f t="shared" si="0"/>
        <v>2020</v>
      </c>
      <c r="G12" s="22">
        <f t="shared" si="1"/>
        <v>9</v>
      </c>
      <c r="H12" s="23">
        <f t="shared" si="2"/>
        <v>5185569.6599999992</v>
      </c>
      <c r="I12" s="23">
        <f>IF(OR(B12="",C12="",config!$B$1=""),"",B12/(C12/config!$B$1))</f>
        <v>39366502.759658806</v>
      </c>
      <c r="J12" s="23">
        <f>IF(OR(H12="",C12="",config!$B$1=""),"",H12/(C12/config!$B$1))</f>
        <v>7135687.3018314093</v>
      </c>
      <c r="K12" s="22"/>
      <c r="L12" s="24">
        <f t="shared" si="3"/>
        <v>17.488425854294274</v>
      </c>
      <c r="M12" s="24">
        <f t="shared" si="4"/>
        <v>15.780619132471246</v>
      </c>
      <c r="N12" s="25">
        <v>86.628279927630672</v>
      </c>
      <c r="O12" s="25">
        <v>85.713078412995515</v>
      </c>
      <c r="P12" s="25">
        <v>94.031056213911327</v>
      </c>
      <c r="Q12" s="25">
        <v>108.461857753166</v>
      </c>
      <c r="R12" s="25">
        <v>102.6852025869492</v>
      </c>
      <c r="S12" s="25">
        <v>134.15572847194059</v>
      </c>
      <c r="T12" s="26">
        <v>427846</v>
      </c>
      <c r="U12" s="26">
        <v>3709</v>
      </c>
      <c r="V12" s="26">
        <v>2161</v>
      </c>
      <c r="W12" s="26">
        <v>92996</v>
      </c>
      <c r="X12" s="39">
        <v>2602.6</v>
      </c>
      <c r="Y12" s="28">
        <v>3.0363000000000002</v>
      </c>
      <c r="Z12" s="29">
        <f t="shared" si="5"/>
        <v>0.15</v>
      </c>
      <c r="AA12" s="42"/>
    </row>
    <row r="13" spans="1:27" x14ac:dyDescent="0.4">
      <c r="A13" s="21">
        <v>44133</v>
      </c>
      <c r="B13" s="30">
        <v>25900000</v>
      </c>
      <c r="C13" s="40">
        <v>80.27</v>
      </c>
      <c r="D13" s="41">
        <v>6713.81</v>
      </c>
      <c r="E13" s="40">
        <v>788.27</v>
      </c>
      <c r="F13" s="22">
        <f t="shared" si="0"/>
        <v>2020</v>
      </c>
      <c r="G13" s="22">
        <f t="shared" si="1"/>
        <v>10</v>
      </c>
      <c r="H13" s="23">
        <f t="shared" si="2"/>
        <v>5292295.0087000001</v>
      </c>
      <c r="I13" s="23">
        <f>IF(OR(B13="",C13="",config!$B$1=""),"",B13/(C13/config!$B$1))</f>
        <v>35395913.790955529</v>
      </c>
      <c r="J13" s="23">
        <f>IF(OR(H13="",C13="",config!$B$1=""),"",H13/(C13/config!$B$1))</f>
        <v>7232649.3391602095</v>
      </c>
      <c r="K13" s="22"/>
      <c r="L13" s="24">
        <f t="shared" si="3"/>
        <v>17.382106970059315</v>
      </c>
      <c r="M13" s="24">
        <f t="shared" si="4"/>
        <v>15.794115963964943</v>
      </c>
      <c r="N13" s="25">
        <v>86.628279927630672</v>
      </c>
      <c r="O13" s="25">
        <v>85.713078412995515</v>
      </c>
      <c r="P13" s="25">
        <v>94.031056213911327</v>
      </c>
      <c r="Q13" s="25">
        <v>108.461857753166</v>
      </c>
      <c r="R13" s="25">
        <v>102.6852025869492</v>
      </c>
      <c r="S13" s="25">
        <v>134.15572847194059</v>
      </c>
      <c r="T13" s="26">
        <v>427846</v>
      </c>
      <c r="U13" s="26">
        <v>3709</v>
      </c>
      <c r="V13" s="26">
        <v>2161</v>
      </c>
      <c r="W13" s="26">
        <v>92996</v>
      </c>
      <c r="X13" s="39">
        <v>2964.2</v>
      </c>
      <c r="Y13" s="28">
        <v>2.5125000000000002</v>
      </c>
      <c r="Z13" s="29">
        <f t="shared" si="5"/>
        <v>0.15</v>
      </c>
      <c r="AA13" s="42"/>
    </row>
    <row r="14" spans="1:27" x14ac:dyDescent="0.4">
      <c r="A14" s="21">
        <v>44164</v>
      </c>
      <c r="B14" s="30">
        <f>21360000 - 890000</f>
        <v>20470000</v>
      </c>
      <c r="C14" s="40">
        <v>80.16</v>
      </c>
      <c r="D14" s="41">
        <v>7068.91</v>
      </c>
      <c r="E14" s="40">
        <v>762.88</v>
      </c>
      <c r="F14" s="22">
        <f t="shared" si="0"/>
        <v>2020</v>
      </c>
      <c r="G14" s="22">
        <f t="shared" si="1"/>
        <v>11</v>
      </c>
      <c r="H14" s="23">
        <f t="shared" si="2"/>
        <v>5392730.0608000001</v>
      </c>
      <c r="I14" s="23">
        <f>IF(OR(B14="",C14="",config!$B$1=""),"",B14/(C14/config!$B$1))</f>
        <v>28013460.578842316</v>
      </c>
      <c r="J14" s="23">
        <f>IF(OR(H14="",C14="",config!$B$1=""),"",H14/(C14/config!$B$1))</f>
        <v>7380021.0537644718</v>
      </c>
      <c r="K14" s="22"/>
      <c r="L14" s="24">
        <f t="shared" si="3"/>
        <v>17.148195723279226</v>
      </c>
      <c r="M14" s="24">
        <f t="shared" si="4"/>
        <v>15.8142870493862</v>
      </c>
      <c r="N14" s="25">
        <v>86.628279927630672</v>
      </c>
      <c r="O14" s="25">
        <v>85.713078412995515</v>
      </c>
      <c r="P14" s="25">
        <v>94.031056213911327</v>
      </c>
      <c r="Q14" s="25">
        <v>108.461857753166</v>
      </c>
      <c r="R14" s="25">
        <v>102.6852025869492</v>
      </c>
      <c r="S14" s="25">
        <v>134.15572847194059</v>
      </c>
      <c r="T14" s="26">
        <v>427846</v>
      </c>
      <c r="U14" s="26">
        <v>3709</v>
      </c>
      <c r="V14" s="26">
        <v>2161</v>
      </c>
      <c r="W14" s="26">
        <v>92996</v>
      </c>
      <c r="X14" s="39">
        <v>2773.3</v>
      </c>
      <c r="Y14" s="28">
        <v>2.3153999999999999</v>
      </c>
      <c r="Z14" s="29">
        <f t="shared" si="5"/>
        <v>0.1</v>
      </c>
      <c r="AA14" s="42"/>
    </row>
    <row r="15" spans="1:27" ht="16.75" customHeight="1" x14ac:dyDescent="0.4">
      <c r="A15" s="21">
        <v>44195</v>
      </c>
      <c r="B15" s="30">
        <f>21360000 - 890000</f>
        <v>20470000</v>
      </c>
      <c r="C15" s="40">
        <v>80.430000000000007</v>
      </c>
      <c r="D15" s="41">
        <v>7772.24</v>
      </c>
      <c r="E15" s="40">
        <v>734.73</v>
      </c>
      <c r="F15" s="22">
        <f t="shared" si="0"/>
        <v>2020</v>
      </c>
      <c r="G15" s="22">
        <f t="shared" si="1"/>
        <v>12</v>
      </c>
      <c r="H15" s="23">
        <f t="shared" si="2"/>
        <v>5710497.8952000001</v>
      </c>
      <c r="I15" s="23">
        <f>IF(OR(B15="",C15="",config!$B$1=""),"",B15/(C15/config!$B$1))</f>
        <v>27919420.614198681</v>
      </c>
      <c r="J15" s="23">
        <f>IF(OR(H15="",C15="",config!$B$1=""),"",H15/(C15/config!$B$1))</f>
        <v>7788656.2116553532</v>
      </c>
      <c r="K15" s="22"/>
      <c r="L15" s="24">
        <f t="shared" si="3"/>
        <v>17.144833119820042</v>
      </c>
      <c r="M15" s="24">
        <f t="shared" si="4"/>
        <v>15.868178901253751</v>
      </c>
      <c r="N15" s="25">
        <v>86.628279927630672</v>
      </c>
      <c r="O15" s="25">
        <v>85.713078412995515</v>
      </c>
      <c r="P15" s="25">
        <v>94.031056213911327</v>
      </c>
      <c r="Q15" s="25">
        <v>108.461857753166</v>
      </c>
      <c r="R15" s="25">
        <v>102.6852025869492</v>
      </c>
      <c r="S15" s="25">
        <v>134.15572847194059</v>
      </c>
      <c r="T15" s="26">
        <v>427846</v>
      </c>
      <c r="U15" s="26">
        <v>3709</v>
      </c>
      <c r="V15" s="26">
        <v>2161</v>
      </c>
      <c r="W15" s="26">
        <v>92996</v>
      </c>
      <c r="X15" s="39">
        <v>1656.8</v>
      </c>
      <c r="Y15" s="28">
        <v>3.3534000000000002</v>
      </c>
      <c r="Z15" s="29">
        <f t="shared" si="5"/>
        <v>0.15</v>
      </c>
    </row>
    <row r="16" spans="1:27" x14ac:dyDescent="0.4">
      <c r="A16" s="21">
        <v>44227</v>
      </c>
      <c r="B16" s="30">
        <v>25200000</v>
      </c>
      <c r="C16" s="40">
        <v>80.989999999999995</v>
      </c>
      <c r="D16" s="41">
        <v>7972.15</v>
      </c>
      <c r="E16" s="40">
        <v>723.56</v>
      </c>
      <c r="F16" s="22">
        <f t="shared" si="0"/>
        <v>2021</v>
      </c>
      <c r="G16" s="22">
        <f t="shared" si="1"/>
        <v>1</v>
      </c>
      <c r="H16" s="23">
        <f t="shared" si="2"/>
        <v>5768328.8539999994</v>
      </c>
      <c r="I16" s="23">
        <f>IF(OR(B16="",C16="",config!$B$1=""),"",B16/(C16/config!$B$1))</f>
        <v>34133102.85220398</v>
      </c>
      <c r="J16" s="23">
        <f>IF(OR(H16="",C16="",config!$B$1=""),"",H16/(C16/config!$B$1))</f>
        <v>7813133.4150364241</v>
      </c>
      <c r="K16" s="22"/>
      <c r="L16" s="24">
        <f t="shared" si="3"/>
        <v>17.345778258799012</v>
      </c>
      <c r="M16" s="24">
        <f t="shared" si="4"/>
        <v>15.871316646864884</v>
      </c>
      <c r="N16" s="25">
        <v>86.628279927630672</v>
      </c>
      <c r="O16" s="25">
        <v>85.713078412995515</v>
      </c>
      <c r="P16" s="25">
        <v>94.031056213911327</v>
      </c>
      <c r="Q16" s="25">
        <v>108.461857753166</v>
      </c>
      <c r="R16" s="25">
        <v>102.6852025869492</v>
      </c>
      <c r="S16" s="25">
        <v>134.15572847194059</v>
      </c>
      <c r="T16" s="26">
        <v>427846</v>
      </c>
      <c r="U16" s="26">
        <v>3709</v>
      </c>
      <c r="V16" s="26">
        <v>2161</v>
      </c>
      <c r="W16" s="26">
        <v>92996</v>
      </c>
      <c r="X16" s="46">
        <v>2359.6439999999998</v>
      </c>
      <c r="Y16" s="28">
        <v>2.86</v>
      </c>
      <c r="Z16" s="29">
        <f t="shared" si="5"/>
        <v>0.15</v>
      </c>
    </row>
    <row r="17" spans="1:27" x14ac:dyDescent="0.4">
      <c r="A17" s="21">
        <v>44228</v>
      </c>
      <c r="B17" s="30">
        <v>22800000</v>
      </c>
      <c r="C17" s="32">
        <v>81.14</v>
      </c>
      <c r="D17" s="33">
        <v>8470.94</v>
      </c>
      <c r="E17" s="33">
        <v>722.35398499999997</v>
      </c>
      <c r="F17" s="22">
        <f t="shared" ref="F17" si="12">YEAR(A17)</f>
        <v>2021</v>
      </c>
      <c r="G17" s="22">
        <f t="shared" ref="G17" si="13">MONTH(A17)</f>
        <v>2</v>
      </c>
      <c r="H17" s="23">
        <f t="shared" ref="H17" si="14">IF(OR(D17="",E17=""),"",D17*E17)</f>
        <v>6119017.2656958997</v>
      </c>
      <c r="I17" s="23">
        <f>IF(OR(B17="",C17="",config!$B$1=""),"",B17/(C17/config!$B$1))</f>
        <v>30825240.325363573</v>
      </c>
      <c r="J17" s="23">
        <f>IF(OR(H17="",C17="",config!$B$1=""),"",H17/(C17/config!$B$1))</f>
        <v>8272814.814479175</v>
      </c>
      <c r="K17" s="22"/>
      <c r="L17" s="24">
        <f t="shared" ref="L17" si="15">IF(I17="","",LN(1+MAX(0,I17)))</f>
        <v>17.2438444358685</v>
      </c>
      <c r="M17" s="24">
        <f t="shared" ref="M17" si="16">IF(J17="","",LN(J17))</f>
        <v>15.928485373596775</v>
      </c>
      <c r="N17" s="25">
        <v>86.628279927630672</v>
      </c>
      <c r="O17" s="25">
        <v>85.713078412995515</v>
      </c>
      <c r="P17" s="25">
        <v>94.031056213911327</v>
      </c>
      <c r="Q17" s="25">
        <v>108.461857753166</v>
      </c>
      <c r="R17" s="25">
        <v>102.6852025869492</v>
      </c>
      <c r="S17" s="25">
        <v>134.15572847194059</v>
      </c>
      <c r="T17" s="26">
        <v>427846</v>
      </c>
      <c r="U17" s="26">
        <v>3709</v>
      </c>
      <c r="V17" s="26">
        <v>2161</v>
      </c>
      <c r="W17" s="26">
        <v>92996</v>
      </c>
      <c r="X17" s="27">
        <v>2092.123</v>
      </c>
      <c r="Y17" s="28">
        <v>2.2644000000000002</v>
      </c>
      <c r="Z17" s="29">
        <f t="shared" ref="Z17" si="17">IF(Y17&lt;=2.41,10%,15%)</f>
        <v>0.1</v>
      </c>
      <c r="AA17">
        <f>X17/1000</f>
        <v>2.092123</v>
      </c>
    </row>
    <row r="18" spans="1:27" x14ac:dyDescent="0.4">
      <c r="A18" s="21">
        <v>44256</v>
      </c>
      <c r="B18" s="31">
        <v>24000000</v>
      </c>
      <c r="C18" s="32">
        <v>81.45</v>
      </c>
      <c r="D18" s="33">
        <v>8988.2478260869575</v>
      </c>
      <c r="E18" s="33">
        <v>726.10302608695702</v>
      </c>
      <c r="F18" s="22">
        <f t="shared" ref="F18:F48" si="18">YEAR(A18)</f>
        <v>2021</v>
      </c>
      <c r="G18" s="22">
        <f t="shared" ref="G18:G48" si="19">MONTH(A18)</f>
        <v>3</v>
      </c>
      <c r="H18" s="23">
        <f t="shared" ref="H18:H48" si="20">IF(OR(D18="",E18=""),"",D18*E18)</f>
        <v>6526393.945741253</v>
      </c>
      <c r="I18" s="23">
        <f>IF(OR(B18="",C18="",config!$B$1=""),"",B18/(C18/config!$B$1))</f>
        <v>32324125.230202578</v>
      </c>
      <c r="J18" s="23">
        <f>IF(OR(H18="",C18="",config!$B$1=""),"",H18/(C18/config!$B$1))</f>
        <v>8789998.9668240082</v>
      </c>
      <c r="K18" s="22" t="e">
        <f ca="1">IF(D2="","",IF(D2&lt;=config!$B$2,1,0))</f>
        <v>#NAME?</v>
      </c>
      <c r="L18" s="24">
        <f t="shared" ref="L18:L48" si="21">IF(I18="","",LN(1+MAX(0,I18)))</f>
        <v>17.291324451481994</v>
      </c>
      <c r="M18" s="24">
        <f t="shared" ref="M18:M48" si="22">IF(J18="","",LN(J18))</f>
        <v>15.989125152121423</v>
      </c>
      <c r="N18" s="25">
        <v>101.0391555757209</v>
      </c>
      <c r="O18" s="25">
        <v>100.3807133882444</v>
      </c>
      <c r="P18" s="25">
        <v>106.3650866776609</v>
      </c>
      <c r="Q18" s="25">
        <v>107.894418549524</v>
      </c>
      <c r="R18" s="25">
        <v>102.05666377298949</v>
      </c>
      <c r="S18" s="25">
        <v>133.86005302142189</v>
      </c>
      <c r="T18" s="26">
        <v>489323</v>
      </c>
      <c r="U18" s="26">
        <v>4403</v>
      </c>
      <c r="V18" s="26">
        <v>2788</v>
      </c>
      <c r="W18" s="26">
        <v>107624</v>
      </c>
      <c r="X18" s="27">
        <v>2841.4050000000002</v>
      </c>
      <c r="Y18" s="28">
        <v>1.9972621462621485</v>
      </c>
      <c r="Z18" s="29">
        <f t="shared" ref="Z18:Z41" si="23">IF(Y18&lt;=2.41,10%,15%)</f>
        <v>0.1</v>
      </c>
      <c r="AA18">
        <f t="shared" ref="AA18:AA40" si="24">X18/1000</f>
        <v>2.8414050000000004</v>
      </c>
    </row>
    <row r="19" spans="1:27" x14ac:dyDescent="0.4">
      <c r="A19" s="21">
        <v>44287</v>
      </c>
      <c r="B19" s="30">
        <v>12000000</v>
      </c>
      <c r="C19" s="32">
        <v>81.75</v>
      </c>
      <c r="D19" s="33">
        <v>9324.8174999999992</v>
      </c>
      <c r="E19" s="33">
        <v>707.787513636364</v>
      </c>
      <c r="F19" s="22">
        <f t="shared" si="18"/>
        <v>2021</v>
      </c>
      <c r="G19" s="22">
        <f t="shared" si="19"/>
        <v>4</v>
      </c>
      <c r="H19" s="23">
        <f t="shared" si="20"/>
        <v>6599989.3934378549</v>
      </c>
      <c r="I19" s="23">
        <f>IF(OR(B19="",C19="",config!$B$1=""),"",B19/(C19/config!$B$1))</f>
        <v>16102752.293577982</v>
      </c>
      <c r="J19" s="23">
        <f>IF(OR(H19="",C19="",config!$B$1=""),"",H19/(C19/config!$B$1))</f>
        <v>8856499.5285643153</v>
      </c>
      <c r="K19" s="22" t="e" cm="1">
        <f t="array" aca="1" ref="K19" ca="1">_xludf.IF(D2="","",_xludf.IF(D2&lt;=config!$B$2,1,0))</f>
        <v>#NAME?</v>
      </c>
      <c r="L19" s="24">
        <f t="shared" si="21"/>
        <v>16.59450082735728</v>
      </c>
      <c r="M19" s="24">
        <f t="shared" si="22"/>
        <v>15.996662157444314</v>
      </c>
      <c r="N19" s="25">
        <v>98.020102249803472</v>
      </c>
      <c r="O19" s="25">
        <v>96.734218202484001</v>
      </c>
      <c r="P19" s="25">
        <v>108.42121258472019</v>
      </c>
      <c r="Q19" s="25">
        <v>111.8082521181671</v>
      </c>
      <c r="R19" s="25">
        <v>106.5943017703858</v>
      </c>
      <c r="S19" s="25">
        <v>134.99927915981391</v>
      </c>
      <c r="T19" s="26">
        <v>465266</v>
      </c>
      <c r="U19" s="26">
        <v>4313</v>
      </c>
      <c r="V19" s="26">
        <v>2541</v>
      </c>
      <c r="W19" s="26">
        <v>90162</v>
      </c>
      <c r="X19" s="27">
        <v>2974.93</v>
      </c>
      <c r="Y19" s="28">
        <v>1.4579408058677013</v>
      </c>
      <c r="Z19" s="29">
        <f t="shared" si="23"/>
        <v>0.1</v>
      </c>
      <c r="AA19">
        <f t="shared" si="24"/>
        <v>2.9749299999999996</v>
      </c>
    </row>
    <row r="20" spans="1:27" x14ac:dyDescent="0.4">
      <c r="A20" s="21">
        <v>44317</v>
      </c>
      <c r="B20" s="31">
        <v>30000000</v>
      </c>
      <c r="C20" s="32">
        <v>81.97</v>
      </c>
      <c r="D20" s="33">
        <v>10166.285</v>
      </c>
      <c r="E20" s="33">
        <v>713.40665714285694</v>
      </c>
      <c r="F20" s="22">
        <f t="shared" si="18"/>
        <v>2021</v>
      </c>
      <c r="G20" s="22">
        <f t="shared" si="19"/>
        <v>5</v>
      </c>
      <c r="H20" s="23">
        <f t="shared" si="20"/>
        <v>7252695.397411569</v>
      </c>
      <c r="I20" s="23">
        <f>IF(OR(B20="",C20="",config!$B$1=""),"",B20/(C20/config!$B$1))</f>
        <v>40148834.939612053</v>
      </c>
      <c r="J20" s="23">
        <f>IF(OR(H20="",C20="",config!$B$1=""),"",H20/(C20/config!$B$1))</f>
        <v>9706242.3459320385</v>
      </c>
      <c r="K20" s="22"/>
      <c r="L20" s="24">
        <f t="shared" si="21"/>
        <v>17.508104005149999</v>
      </c>
      <c r="M20" s="24">
        <f t="shared" si="22"/>
        <v>16.088279777307751</v>
      </c>
      <c r="N20" s="25">
        <v>100.16581886291991</v>
      </c>
      <c r="O20" s="25">
        <v>98.684678599309294</v>
      </c>
      <c r="P20" s="25">
        <v>112.1462951239137</v>
      </c>
      <c r="Q20" s="25">
        <v>109.7661114372433</v>
      </c>
      <c r="R20" s="25">
        <v>104.290364235656</v>
      </c>
      <c r="S20" s="25">
        <v>134.12157954776549</v>
      </c>
      <c r="T20" s="26">
        <v>491090</v>
      </c>
      <c r="U20" s="26">
        <v>4486</v>
      </c>
      <c r="V20" s="26">
        <v>2921</v>
      </c>
      <c r="W20" s="26">
        <v>113945</v>
      </c>
      <c r="X20" s="35">
        <v>1452.806</v>
      </c>
      <c r="Y20" s="34">
        <v>2.7160208146166798</v>
      </c>
      <c r="Z20" s="29"/>
      <c r="AA20">
        <f t="shared" si="24"/>
        <v>1.452806</v>
      </c>
    </row>
    <row r="21" spans="1:27" x14ac:dyDescent="0.4">
      <c r="A21" s="21">
        <v>44348</v>
      </c>
      <c r="B21" s="30">
        <v>24000000</v>
      </c>
      <c r="C21" s="32">
        <v>82.04</v>
      </c>
      <c r="D21" s="33">
        <v>9631.5</v>
      </c>
      <c r="E21" s="33">
        <v>728.64111363636403</v>
      </c>
      <c r="F21" s="22">
        <f t="shared" si="18"/>
        <v>2021</v>
      </c>
      <c r="G21" s="22">
        <f t="shared" si="19"/>
        <v>6</v>
      </c>
      <c r="H21" s="23">
        <f t="shared" si="20"/>
        <v>7017906.8859886397</v>
      </c>
      <c r="I21" s="23">
        <f>IF(OR(B21="",C21="",config!$B$1=""),"",B21/(C21/config!$B$1))</f>
        <v>32091662.603607994</v>
      </c>
      <c r="J21" s="23">
        <f>IF(OR(H21="",C21="",config!$B$1=""),"",H21/(C21/config!$B$1))</f>
        <v>9384012.4986951947</v>
      </c>
      <c r="K21" s="22" t="e">
        <f ca="1">IF(D21="","",IF(D21&lt;=config!$B$2,1,0))</f>
        <v>#NAME?</v>
      </c>
      <c r="L21" s="24">
        <f t="shared" si="21"/>
        <v>17.284106853549964</v>
      </c>
      <c r="M21" s="24">
        <f t="shared" si="22"/>
        <v>16.054518001230075</v>
      </c>
      <c r="N21" s="25">
        <v>97.942966847167085</v>
      </c>
      <c r="O21" s="25">
        <v>96.135500280464598</v>
      </c>
      <c r="P21" s="25">
        <v>112.5629936109613</v>
      </c>
      <c r="Q21" s="25">
        <v>109.5562352945735</v>
      </c>
      <c r="R21" s="25">
        <v>104.2117821480512</v>
      </c>
      <c r="S21" s="25">
        <v>133.3277231639502</v>
      </c>
      <c r="T21" s="26">
        <v>482623</v>
      </c>
      <c r="U21" s="26">
        <v>4235</v>
      </c>
      <c r="V21" s="26">
        <v>2777</v>
      </c>
      <c r="W21" s="26">
        <v>115751</v>
      </c>
      <c r="X21" s="27">
        <v>1786.126</v>
      </c>
      <c r="Y21" s="28">
        <v>2.5994643197624354</v>
      </c>
      <c r="Z21" s="29">
        <f t="shared" si="23"/>
        <v>0.15</v>
      </c>
      <c r="AA21">
        <f t="shared" si="24"/>
        <v>1.7861259999999999</v>
      </c>
    </row>
    <row r="22" spans="1:27" x14ac:dyDescent="0.4">
      <c r="A22" s="21">
        <v>44378</v>
      </c>
      <c r="B22" s="31">
        <v>45000000</v>
      </c>
      <c r="C22" s="32">
        <v>82.7</v>
      </c>
      <c r="D22" s="33">
        <v>9450.8204545454555</v>
      </c>
      <c r="E22" s="33">
        <v>752.014768181818</v>
      </c>
      <c r="F22" s="22">
        <f t="shared" si="18"/>
        <v>2021</v>
      </c>
      <c r="G22" s="22">
        <f t="shared" si="19"/>
        <v>7</v>
      </c>
      <c r="H22" s="23">
        <f t="shared" si="20"/>
        <v>7107156.5532529848</v>
      </c>
      <c r="I22" s="23">
        <f>IF(OR(B22="",C22="",config!$B$1=""),"",B22/(C22/config!$B$1))</f>
        <v>59691656.590084642</v>
      </c>
      <c r="J22" s="23">
        <f>IF(OR(H22="",C22="",config!$B$1=""),"",H22/(C22/config!$B$1))</f>
        <v>9427509.9624165948</v>
      </c>
      <c r="K22" s="22" t="e">
        <f ca="1">IF(D22="","",IF(D22&lt;=config!$B$2,1,0))</f>
        <v>#NAME?</v>
      </c>
      <c r="L22" s="24">
        <f t="shared" si="21"/>
        <v>17.904702829738891</v>
      </c>
      <c r="M22" s="24">
        <f t="shared" si="22"/>
        <v>16.059142564854117</v>
      </c>
      <c r="N22" s="25">
        <v>97.690725494396048</v>
      </c>
      <c r="O22" s="25">
        <v>95.062818727893927</v>
      </c>
      <c r="P22" s="25">
        <v>118.9470341679836</v>
      </c>
      <c r="Q22" s="25">
        <v>112.0661333441914</v>
      </c>
      <c r="R22" s="25">
        <v>107.9039131525039</v>
      </c>
      <c r="S22" s="25">
        <v>130.57919054271039</v>
      </c>
      <c r="T22" s="26">
        <v>467798</v>
      </c>
      <c r="U22" s="26">
        <v>3901</v>
      </c>
      <c r="V22" s="26">
        <v>2657</v>
      </c>
      <c r="W22" s="26">
        <v>107399</v>
      </c>
      <c r="X22" s="27">
        <v>2165.5320000000002</v>
      </c>
      <c r="Y22" s="28">
        <v>2.7467771465856892</v>
      </c>
      <c r="Z22" s="29">
        <f t="shared" si="23"/>
        <v>0.15</v>
      </c>
      <c r="AA22">
        <f t="shared" si="24"/>
        <v>2.1655320000000002</v>
      </c>
    </row>
    <row r="23" spans="1:27" x14ac:dyDescent="0.4">
      <c r="A23" s="21">
        <v>44409</v>
      </c>
      <c r="B23" s="30">
        <v>40800000</v>
      </c>
      <c r="C23" s="32">
        <v>83</v>
      </c>
      <c r="D23" s="33">
        <v>9370.1385714285716</v>
      </c>
      <c r="E23" s="33">
        <v>780.83182272727299</v>
      </c>
      <c r="F23" s="22">
        <f t="shared" si="18"/>
        <v>2021</v>
      </c>
      <c r="G23" s="22">
        <f t="shared" si="19"/>
        <v>8</v>
      </c>
      <c r="H23" s="23">
        <f t="shared" si="20"/>
        <v>7316502.3799356977</v>
      </c>
      <c r="I23" s="23">
        <f>IF(OR(B23="",C23="",config!$B$1=""),"",B23/(C23/config!$B$1))</f>
        <v>53924819.277108438</v>
      </c>
      <c r="J23" s="23">
        <f>IF(OR(H23="",C23="",config!$B$1=""),"",H23/(C23/config!$B$1))</f>
        <v>9670124.2298668195</v>
      </c>
      <c r="K23" s="22" t="e">
        <f ca="1">IF(D23="","",IF(D23&lt;=config!$B$2,1,0))</f>
        <v>#NAME?</v>
      </c>
      <c r="L23" s="24">
        <f t="shared" si="21"/>
        <v>17.803101417403312</v>
      </c>
      <c r="M23" s="24">
        <f t="shared" si="22"/>
        <v>16.084551714282512</v>
      </c>
      <c r="N23" s="25">
        <v>98.165141393294562</v>
      </c>
      <c r="O23" s="25">
        <v>95.464396908419516</v>
      </c>
      <c r="P23" s="25">
        <v>120.0106113889466</v>
      </c>
      <c r="Q23" s="25">
        <v>111.03984364327791</v>
      </c>
      <c r="R23" s="25">
        <v>106.18232541613401</v>
      </c>
      <c r="S23" s="25">
        <v>132.64550327694209</v>
      </c>
      <c r="T23" s="26">
        <v>464194</v>
      </c>
      <c r="U23" s="26">
        <v>4023</v>
      </c>
      <c r="V23" s="26">
        <v>3115</v>
      </c>
      <c r="W23" s="26">
        <v>116460</v>
      </c>
      <c r="X23" s="27">
        <v>2046.5150000000001</v>
      </c>
      <c r="Y23" s="28">
        <v>3.2693765362579801</v>
      </c>
      <c r="Z23" s="29">
        <f t="shared" si="23"/>
        <v>0.15</v>
      </c>
      <c r="AA23">
        <f t="shared" si="24"/>
        <v>2.0465150000000003</v>
      </c>
    </row>
    <row r="24" spans="1:27" x14ac:dyDescent="0.4">
      <c r="A24" s="21">
        <v>44440</v>
      </c>
      <c r="B24" s="31">
        <v>36000000</v>
      </c>
      <c r="C24" s="32">
        <v>83.98</v>
      </c>
      <c r="D24" s="33">
        <v>9324.7095454545433</v>
      </c>
      <c r="E24" s="33">
        <v>785.36912272727295</v>
      </c>
      <c r="F24" s="22">
        <f t="shared" si="18"/>
        <v>2021</v>
      </c>
      <c r="G24" s="22">
        <f t="shared" si="19"/>
        <v>9</v>
      </c>
      <c r="H24" s="23">
        <f t="shared" si="20"/>
        <v>7323338.955400263</v>
      </c>
      <c r="I24" s="23">
        <f>IF(OR(B24="",C24="",config!$B$1=""),"",B24/(C24/config!$B$1))</f>
        <v>47025482.257680394</v>
      </c>
      <c r="J24" s="23">
        <f>IF(OR(H24="",C24="",config!$B$1=""),"",H24/(C24/config!$B$1))</f>
        <v>9566209.6142820772</v>
      </c>
      <c r="K24" s="22" t="e">
        <f ca="1">IF(D24="","",IF(D24&lt;=config!$B$2,1,0))</f>
        <v>#NAME?</v>
      </c>
      <c r="L24" s="24">
        <f t="shared" si="21"/>
        <v>17.666200209710588</v>
      </c>
      <c r="M24" s="24">
        <f t="shared" si="22"/>
        <v>16.073747615409868</v>
      </c>
      <c r="N24" s="25">
        <v>94.012530879658982</v>
      </c>
      <c r="O24" s="25">
        <v>90.752772400363085</v>
      </c>
      <c r="P24" s="25">
        <v>120.37968869534041</v>
      </c>
      <c r="Q24" s="25">
        <v>109.108966766577</v>
      </c>
      <c r="R24" s="25">
        <v>104.4506349374751</v>
      </c>
      <c r="S24" s="25">
        <v>129.8286691441873</v>
      </c>
      <c r="T24" s="26">
        <v>449068</v>
      </c>
      <c r="U24" s="26">
        <v>4143</v>
      </c>
      <c r="V24" s="26">
        <v>3055</v>
      </c>
      <c r="W24" s="26">
        <v>107966</v>
      </c>
      <c r="X24" s="27">
        <v>2003.079</v>
      </c>
      <c r="Y24" s="28">
        <v>2.9313545519173232</v>
      </c>
      <c r="Z24" s="29">
        <f t="shared" si="23"/>
        <v>0.15</v>
      </c>
      <c r="AA24">
        <f t="shared" si="24"/>
        <v>2.0030790000000001</v>
      </c>
    </row>
    <row r="25" spans="1:27" x14ac:dyDescent="0.4">
      <c r="A25" s="21">
        <v>44470</v>
      </c>
      <c r="B25" s="30">
        <v>31200000</v>
      </c>
      <c r="C25" s="32">
        <v>85.1</v>
      </c>
      <c r="D25" s="33">
        <v>9829.2190476190481</v>
      </c>
      <c r="E25" s="33">
        <v>814.20592857142901</v>
      </c>
      <c r="F25" s="22">
        <f t="shared" si="18"/>
        <v>2021</v>
      </c>
      <c r="G25" s="22">
        <f t="shared" si="19"/>
        <v>10</v>
      </c>
      <c r="H25" s="23">
        <f t="shared" si="20"/>
        <v>8003008.4217986446</v>
      </c>
      <c r="I25" s="23">
        <f>IF(OR(B25="",C25="",config!$B$1=""),"",B25/(C25/config!$B$1))</f>
        <v>40219036.427732088</v>
      </c>
      <c r="J25" s="23">
        <f>IF(OR(H25="",C25="",config!$B$1=""),"",H25/(C25/config!$B$1))</f>
        <v>10316451.514351485</v>
      </c>
      <c r="K25" s="22" t="e">
        <f ca="1">IF(D25="","",IF(D25&lt;=config!$B$2,1,0))</f>
        <v>#NAME?</v>
      </c>
      <c r="L25" s="24">
        <f t="shared" si="21"/>
        <v>17.509851009345414</v>
      </c>
      <c r="M25" s="24">
        <f t="shared" si="22"/>
        <v>16.149250413380692</v>
      </c>
      <c r="N25" s="25">
        <v>104.08346510469281</v>
      </c>
      <c r="O25" s="25">
        <v>99.989404738637759</v>
      </c>
      <c r="P25" s="25">
        <v>137.19902764232481</v>
      </c>
      <c r="Q25" s="25">
        <v>112.6587435942413</v>
      </c>
      <c r="R25" s="25">
        <v>108.57590531003591</v>
      </c>
      <c r="S25" s="25">
        <v>130.8187195702246</v>
      </c>
      <c r="T25" s="26">
        <v>472261</v>
      </c>
      <c r="U25" s="26">
        <v>3944</v>
      </c>
      <c r="V25" s="26">
        <v>2947</v>
      </c>
      <c r="W25" s="26">
        <v>99449</v>
      </c>
      <c r="X25" s="27">
        <v>2364.9520000000002</v>
      </c>
      <c r="Y25" s="28">
        <v>2.0891059130164162</v>
      </c>
      <c r="Z25" s="29">
        <f t="shared" si="23"/>
        <v>0.1</v>
      </c>
      <c r="AA25">
        <f t="shared" si="24"/>
        <v>2.3649520000000002</v>
      </c>
    </row>
    <row r="26" spans="1:27" x14ac:dyDescent="0.4">
      <c r="A26" s="21">
        <v>44501</v>
      </c>
      <c r="B26" s="31">
        <v>60000000</v>
      </c>
      <c r="C26" s="32">
        <v>85.53</v>
      </c>
      <c r="D26" s="33">
        <v>9728.9045454545449</v>
      </c>
      <c r="E26" s="33">
        <v>813.50707727272697</v>
      </c>
      <c r="F26" s="22">
        <f t="shared" si="18"/>
        <v>2021</v>
      </c>
      <c r="G26" s="22">
        <f t="shared" si="19"/>
        <v>11</v>
      </c>
      <c r="H26" s="23">
        <f t="shared" si="20"/>
        <v>7914532.7018380752</v>
      </c>
      <c r="I26" s="23">
        <f>IF(OR(B26="",C26="",config!$B$1=""),"",B26/(C26/config!$B$1))</f>
        <v>76955454.226587161</v>
      </c>
      <c r="J26" s="23">
        <f>IF(OR(H26="",C26="",config!$B$1=""),"",H26/(C26/config!$B$1))</f>
        <v>10151107.651018787</v>
      </c>
      <c r="K26" s="22" t="e">
        <f ca="1">IF(D26="","",IF(D26&lt;=config!$B$2,1,0))</f>
        <v>#NAME?</v>
      </c>
      <c r="L26" s="24">
        <f t="shared" si="21"/>
        <v>18.158737308869398</v>
      </c>
      <c r="M26" s="24">
        <f t="shared" si="22"/>
        <v>16.133093385677213</v>
      </c>
      <c r="N26" s="25">
        <v>102.39898589588429</v>
      </c>
      <c r="O26" s="25">
        <v>99.068488935689231</v>
      </c>
      <c r="P26" s="25">
        <v>129.33832496405881</v>
      </c>
      <c r="Q26" s="25">
        <v>113.2830563667699</v>
      </c>
      <c r="R26" s="25">
        <v>109.5402619131246</v>
      </c>
      <c r="S26" s="25">
        <v>129.93055808737029</v>
      </c>
      <c r="T26" s="26">
        <v>483207</v>
      </c>
      <c r="U26" s="26">
        <v>3681</v>
      </c>
      <c r="V26" s="26">
        <v>3162</v>
      </c>
      <c r="W26" s="26">
        <v>107746</v>
      </c>
      <c r="X26" s="27">
        <v>2755.761</v>
      </c>
      <c r="Y26" s="28">
        <v>3.2848702544233701</v>
      </c>
      <c r="Z26" s="29">
        <f t="shared" si="23"/>
        <v>0.15</v>
      </c>
      <c r="AA26">
        <f t="shared" si="24"/>
        <v>2.7557610000000001</v>
      </c>
    </row>
    <row r="27" spans="1:27" x14ac:dyDescent="0.4">
      <c r="A27" s="21">
        <v>44531</v>
      </c>
      <c r="B27" s="30">
        <v>60000000</v>
      </c>
      <c r="C27" s="32">
        <v>86.2</v>
      </c>
      <c r="D27" s="33">
        <v>9551.18</v>
      </c>
      <c r="E27" s="33">
        <v>849.81891304347801</v>
      </c>
      <c r="F27" s="22">
        <f t="shared" si="18"/>
        <v>2021</v>
      </c>
      <c r="G27" s="22">
        <f t="shared" si="19"/>
        <v>12</v>
      </c>
      <c r="H27" s="23">
        <f t="shared" si="20"/>
        <v>8116773.4058826063</v>
      </c>
      <c r="I27" s="23">
        <f>IF(OR(B27="",C27="",config!$B$1=""),"",B27/(C27/config!$B$1))</f>
        <v>76357308.584686771</v>
      </c>
      <c r="J27" s="23">
        <f>IF(OR(H27="",C27="",config!$B$1=""),"",H27/(C27/config!$B$1))</f>
        <v>10329582.861082621</v>
      </c>
      <c r="K27" s="22" t="e">
        <f ca="1">IF(D27="","",IF(D27&lt;=config!$B$2,1,0))</f>
        <v>#NAME?</v>
      </c>
      <c r="L27" s="24">
        <f t="shared" si="21"/>
        <v>18.150934322894233</v>
      </c>
      <c r="M27" s="24">
        <f t="shared" si="22"/>
        <v>16.150522458971917</v>
      </c>
      <c r="N27" s="25">
        <v>106.86136158673651</v>
      </c>
      <c r="O27" s="25">
        <v>102.5559963256237</v>
      </c>
      <c r="P27" s="25">
        <v>141.68610274928849</v>
      </c>
      <c r="Q27" s="25">
        <v>109.10638106278709</v>
      </c>
      <c r="R27" s="25">
        <v>105.2144133222245</v>
      </c>
      <c r="S27" s="25">
        <v>126.4173877076842</v>
      </c>
      <c r="T27" s="26">
        <v>500982</v>
      </c>
      <c r="U27" s="26">
        <v>3677</v>
      </c>
      <c r="V27" s="26">
        <v>2888</v>
      </c>
      <c r="W27" s="26">
        <v>116758</v>
      </c>
      <c r="X27" s="27">
        <v>2699.4949999999999</v>
      </c>
      <c r="Y27" s="28">
        <v>3.7763262946958602</v>
      </c>
      <c r="Z27" s="29">
        <f t="shared" si="23"/>
        <v>0.15</v>
      </c>
      <c r="AA27">
        <f t="shared" si="24"/>
        <v>2.6994949999999998</v>
      </c>
    </row>
    <row r="28" spans="1:27" x14ac:dyDescent="0.4">
      <c r="A28" s="21">
        <v>44562</v>
      </c>
      <c r="B28" s="31">
        <v>42000000</v>
      </c>
      <c r="C28" s="32">
        <v>87.23</v>
      </c>
      <c r="D28" s="33">
        <v>9782.3374999999996</v>
      </c>
      <c r="E28" s="33">
        <v>819.82692380952403</v>
      </c>
      <c r="F28" s="22">
        <f t="shared" si="18"/>
        <v>2022</v>
      </c>
      <c r="G28" s="22">
        <f t="shared" si="19"/>
        <v>1</v>
      </c>
      <c r="H28" s="23">
        <f t="shared" si="20"/>
        <v>8019823.6602915497</v>
      </c>
      <c r="I28" s="23">
        <f>IF(OR(B28="",C28="",config!$B$1=""),"",B28/(C28/config!$B$1))</f>
        <v>52818984.294394128</v>
      </c>
      <c r="J28" s="23">
        <f>IF(OR(H28="",C28="",config!$B$1=""),"",H28/(C28/config!$B$1))</f>
        <v>10085689.046589281</v>
      </c>
      <c r="K28" s="22" t="e">
        <f ca="1">IF(D28="","",IF(D28&lt;=config!$B$2,1,0))</f>
        <v>#NAME?</v>
      </c>
      <c r="L28" s="24">
        <f t="shared" si="21"/>
        <v>17.782381254016286</v>
      </c>
      <c r="M28" s="24">
        <f t="shared" si="22"/>
        <v>16.126628050942205</v>
      </c>
      <c r="N28" s="25">
        <v>89.96588819659253</v>
      </c>
      <c r="O28" s="25">
        <v>84.357026055649243</v>
      </c>
      <c r="P28" s="25">
        <v>135.33420433901989</v>
      </c>
      <c r="Q28" s="25">
        <v>111.26955775340819</v>
      </c>
      <c r="R28" s="25">
        <v>106.9867456890377</v>
      </c>
      <c r="S28" s="25">
        <v>130.31899316687969</v>
      </c>
      <c r="T28" s="26">
        <v>427634</v>
      </c>
      <c r="U28" s="26">
        <v>3277</v>
      </c>
      <c r="V28" s="26">
        <v>2430</v>
      </c>
      <c r="W28" s="26">
        <v>95369</v>
      </c>
      <c r="X28" s="35">
        <v>2059.6370000000002</v>
      </c>
      <c r="Y28" s="34">
        <v>2.6639918007881973</v>
      </c>
      <c r="Z28" s="29">
        <f t="shared" si="23"/>
        <v>0.15</v>
      </c>
      <c r="AA28">
        <f t="shared" si="24"/>
        <v>2.0596370000000004</v>
      </c>
    </row>
    <row r="29" spans="1:27" x14ac:dyDescent="0.4">
      <c r="A29" s="21">
        <v>44593</v>
      </c>
      <c r="B29" s="30">
        <v>39000000</v>
      </c>
      <c r="C29" s="32">
        <v>87.48</v>
      </c>
      <c r="D29" s="33">
        <v>9943.1749999999993</v>
      </c>
      <c r="E29" s="33">
        <v>806.89198999999996</v>
      </c>
      <c r="F29" s="22">
        <f t="shared" si="18"/>
        <v>2022</v>
      </c>
      <c r="G29" s="22">
        <f t="shared" si="19"/>
        <v>2</v>
      </c>
      <c r="H29" s="23">
        <f t="shared" si="20"/>
        <v>8023068.2626682492</v>
      </c>
      <c r="I29" s="23">
        <f>IF(OR(B29="",C29="",config!$B$1=""),"",B29/(C29/config!$B$1))</f>
        <v>48906035.665294923</v>
      </c>
      <c r="J29" s="23">
        <f>IF(OR(H29="",C29="",config!$B$1=""),"",H29/(C29/config!$B$1))</f>
        <v>10060934.938439723</v>
      </c>
      <c r="K29" s="22" t="e">
        <f ca="1">IF(D29="","",IF(D29&lt;=config!$B$2,1,0))</f>
        <v>#NAME?</v>
      </c>
      <c r="L29" s="24">
        <f t="shared" si="21"/>
        <v>17.705411396013911</v>
      </c>
      <c r="M29" s="24">
        <f t="shared" si="22"/>
        <v>16.124170654544177</v>
      </c>
      <c r="N29" s="25">
        <v>82.855542671508772</v>
      </c>
      <c r="O29" s="25">
        <v>78.681041636237396</v>
      </c>
      <c r="P29" s="25">
        <v>116.6217644016847</v>
      </c>
      <c r="Q29" s="25">
        <v>115.6548508883895</v>
      </c>
      <c r="R29" s="25">
        <v>111.2297119436747</v>
      </c>
      <c r="S29" s="25">
        <v>135.3373392292296</v>
      </c>
      <c r="T29" s="26">
        <v>397081</v>
      </c>
      <c r="U29" s="26">
        <v>3727</v>
      </c>
      <c r="V29" s="26">
        <v>2175</v>
      </c>
      <c r="W29" s="26">
        <v>86617</v>
      </c>
      <c r="X29" s="35">
        <v>1815.7049999999999</v>
      </c>
      <c r="Y29" s="34">
        <v>3.4900910898521516</v>
      </c>
      <c r="Z29" s="29">
        <f t="shared" si="23"/>
        <v>0.15</v>
      </c>
      <c r="AA29">
        <f t="shared" si="24"/>
        <v>1.8157049999999999</v>
      </c>
    </row>
    <row r="30" spans="1:27" x14ac:dyDescent="0.4">
      <c r="A30" s="21">
        <v>44621</v>
      </c>
      <c r="B30" s="31">
        <v>42000000</v>
      </c>
      <c r="C30" s="32">
        <v>89.11</v>
      </c>
      <c r="D30" s="33">
        <v>10230.893913043479</v>
      </c>
      <c r="E30" s="33">
        <v>798.41044347826096</v>
      </c>
      <c r="F30" s="22">
        <f t="shared" si="18"/>
        <v>2022</v>
      </c>
      <c r="G30" s="22">
        <f t="shared" si="19"/>
        <v>3</v>
      </c>
      <c r="H30" s="23">
        <f t="shared" si="20"/>
        <v>8168452.5462920852</v>
      </c>
      <c r="I30" s="23">
        <f>IF(OR(B30="",C30="",config!$B$1=""),"",B30/(C30/config!$B$1))</f>
        <v>51704634.721131183</v>
      </c>
      <c r="J30" s="23">
        <f>IF(OR(H30="",C30="",config!$B$1=""),"",H30/(C30/config!$B$1))</f>
        <v>10055877.503403004</v>
      </c>
      <c r="K30" s="22" t="e">
        <f ca="1">IF(D30="","",IF(D30&lt;=config!$B$2,1,0))</f>
        <v>#NAME?</v>
      </c>
      <c r="L30" s="24">
        <f t="shared" si="21"/>
        <v>17.761058001244823</v>
      </c>
      <c r="M30" s="24">
        <f t="shared" si="22"/>
        <v>16.12366784773441</v>
      </c>
      <c r="N30" s="25">
        <v>100.4242380444969</v>
      </c>
      <c r="O30" s="25">
        <v>95.166356735108963</v>
      </c>
      <c r="P30" s="25">
        <v>142.9535809824134</v>
      </c>
      <c r="Q30" s="25">
        <v>115.86125321412879</v>
      </c>
      <c r="R30" s="25">
        <v>111.14932218019371</v>
      </c>
      <c r="S30" s="25">
        <v>136.81935843905981</v>
      </c>
      <c r="T30" s="26">
        <v>459723</v>
      </c>
      <c r="U30" s="26">
        <v>4105</v>
      </c>
      <c r="V30" s="26">
        <v>2490</v>
      </c>
      <c r="W30" s="26">
        <v>110939</v>
      </c>
      <c r="X30" s="35">
        <v>2066.2780000000002</v>
      </c>
      <c r="Y30" s="34">
        <v>2.8406008115558508</v>
      </c>
      <c r="Z30" s="29">
        <f t="shared" si="23"/>
        <v>0.15</v>
      </c>
      <c r="AA30">
        <f t="shared" si="24"/>
        <v>2.0662780000000001</v>
      </c>
    </row>
    <row r="31" spans="1:27" x14ac:dyDescent="0.4">
      <c r="A31" s="21">
        <v>44652</v>
      </c>
      <c r="B31" s="30">
        <v>30000000</v>
      </c>
      <c r="C31" s="32">
        <v>90.35</v>
      </c>
      <c r="D31" s="33">
        <v>10174.347619047619</v>
      </c>
      <c r="E31" s="33">
        <v>818.92428571428604</v>
      </c>
      <c r="F31" s="22">
        <f t="shared" si="18"/>
        <v>2022</v>
      </c>
      <c r="G31" s="22">
        <f t="shared" si="19"/>
        <v>4</v>
      </c>
      <c r="H31" s="23">
        <f t="shared" si="20"/>
        <v>8332020.3565374184</v>
      </c>
      <c r="I31" s="23">
        <f>IF(OR(B31="",C31="",config!$B$1=""),"",B31/(C31/config!$B$1))</f>
        <v>36425013.835085779</v>
      </c>
      <c r="J31" s="23">
        <f>IF(OR(H31="",C31="",config!$B$1=""),"",H31/(C31/config!$B$1))</f>
        <v>10116465.225369727</v>
      </c>
      <c r="K31" s="22" t="e">
        <f ca="1">IF(D31="","",IF(D31&lt;=config!$B$2,1,0))</f>
        <v>#NAME?</v>
      </c>
      <c r="L31" s="24">
        <f t="shared" si="21"/>
        <v>17.410766317323038</v>
      </c>
      <c r="M31" s="24">
        <f t="shared" si="22"/>
        <v>16.12967487477836</v>
      </c>
      <c r="N31" s="25">
        <v>89.140242656657946</v>
      </c>
      <c r="O31" s="25">
        <v>84.011303397120898</v>
      </c>
      <c r="P31" s="25">
        <v>130.6266140372978</v>
      </c>
      <c r="Q31" s="25">
        <v>120.0071370648101</v>
      </c>
      <c r="R31" s="25">
        <v>116.16335235587169</v>
      </c>
      <c r="S31" s="25">
        <v>137.10383135250899</v>
      </c>
      <c r="T31" s="26">
        <v>420033</v>
      </c>
      <c r="U31" s="26">
        <v>3936</v>
      </c>
      <c r="V31" s="26">
        <v>2304</v>
      </c>
      <c r="W31" s="26">
        <v>86347</v>
      </c>
      <c r="X31" s="35">
        <v>1452.806</v>
      </c>
      <c r="Y31" s="34">
        <v>2.7160208146166798</v>
      </c>
      <c r="Z31" s="29">
        <f t="shared" si="23"/>
        <v>0.15</v>
      </c>
      <c r="AA31">
        <f t="shared" si="24"/>
        <v>1.452806</v>
      </c>
    </row>
    <row r="32" spans="1:27" x14ac:dyDescent="0.4">
      <c r="A32" s="21">
        <v>44682</v>
      </c>
      <c r="B32" s="31">
        <v>21000000</v>
      </c>
      <c r="C32" s="32">
        <v>91.43</v>
      </c>
      <c r="D32" s="33">
        <v>9395.0272727272713</v>
      </c>
      <c r="E32" s="33">
        <v>848.25885454545403</v>
      </c>
      <c r="F32" s="22">
        <f t="shared" si="18"/>
        <v>2022</v>
      </c>
      <c r="G32" s="22">
        <f t="shared" si="19"/>
        <v>5</v>
      </c>
      <c r="H32" s="23">
        <f t="shared" si="20"/>
        <v>7969415.0727869365</v>
      </c>
      <c r="I32" s="23">
        <f>IF(OR(B32="",C32="",config!$B$1=""),"",B32/(C32/config!$B$1))</f>
        <v>25196325.057420976</v>
      </c>
      <c r="J32" s="23">
        <f>IF(OR(H32="",C32="",config!$B$1=""),"",H32/(C32/config!$B$1))</f>
        <v>9561903.4614976142</v>
      </c>
      <c r="K32" s="22" t="e">
        <f ca="1">IF(D32="","",IF(D32&lt;=config!$B$2,1,0))</f>
        <v>#NAME?</v>
      </c>
      <c r="L32" s="24">
        <f t="shared" si="21"/>
        <v>17.042208750480874</v>
      </c>
      <c r="M32" s="24">
        <f t="shared" si="22"/>
        <v>16.07329737205966</v>
      </c>
      <c r="N32" s="25">
        <v>100.36273315131039</v>
      </c>
      <c r="O32" s="25">
        <v>95.779164909020352</v>
      </c>
      <c r="P32" s="25">
        <v>137.43777044962971</v>
      </c>
      <c r="Q32" s="25">
        <v>120.2180938752893</v>
      </c>
      <c r="R32" s="25">
        <v>115.3693454287924</v>
      </c>
      <c r="S32" s="25">
        <v>141.7847465743703</v>
      </c>
      <c r="T32" s="26">
        <v>477610</v>
      </c>
      <c r="U32" s="26">
        <v>3952</v>
      </c>
      <c r="V32" s="26">
        <v>2718</v>
      </c>
      <c r="W32" s="26">
        <v>105992</v>
      </c>
      <c r="X32" s="35">
        <v>1167.221</v>
      </c>
      <c r="Y32" s="34">
        <v>2.6787884698784552</v>
      </c>
      <c r="Z32" s="29">
        <f t="shared" si="23"/>
        <v>0.15</v>
      </c>
      <c r="AA32">
        <f t="shared" si="24"/>
        <v>1.1672210000000001</v>
      </c>
    </row>
    <row r="33" spans="1:27" x14ac:dyDescent="0.4">
      <c r="A33" s="21">
        <v>44713</v>
      </c>
      <c r="B33" s="30">
        <v>36000000</v>
      </c>
      <c r="C33" s="32">
        <v>92.29</v>
      </c>
      <c r="D33" s="33">
        <v>9067.5518181818188</v>
      </c>
      <c r="E33" s="33">
        <v>867.33953181818197</v>
      </c>
      <c r="F33" s="22">
        <f t="shared" si="18"/>
        <v>2022</v>
      </c>
      <c r="G33" s="22">
        <f t="shared" si="19"/>
        <v>6</v>
      </c>
      <c r="H33" s="23">
        <f t="shared" si="20"/>
        <v>7864646.1487189233</v>
      </c>
      <c r="I33" s="23">
        <f>IF(OR(B33="",C33="",config!$B$1=""),"",B33/(C33/config!$B$1))</f>
        <v>42791201.646982342</v>
      </c>
      <c r="J33" s="23">
        <f>IF(OR(H33="",C33="",config!$B$1=""),"",H33/(C33/config!$B$1))</f>
        <v>9348268.3119998481</v>
      </c>
      <c r="K33" s="22" t="e">
        <f ca="1">IF(D33="","",IF(D33&lt;=config!$B$2,1,0))</f>
        <v>#NAME?</v>
      </c>
      <c r="L33" s="24">
        <f t="shared" si="21"/>
        <v>17.571843093793373</v>
      </c>
      <c r="M33" s="24">
        <f t="shared" si="22"/>
        <v>16.050701676839143</v>
      </c>
      <c r="N33" s="25">
        <v>96.265488123637454</v>
      </c>
      <c r="O33" s="25">
        <v>91.501970307041233</v>
      </c>
      <c r="P33" s="25">
        <v>134.79608075058971</v>
      </c>
      <c r="Q33" s="25">
        <v>119.5903055753341</v>
      </c>
      <c r="R33" s="25">
        <v>114.92332325998549</v>
      </c>
      <c r="S33" s="25">
        <v>140.34848428031449</v>
      </c>
      <c r="T33" s="26">
        <v>459658</v>
      </c>
      <c r="U33" s="26">
        <v>3351</v>
      </c>
      <c r="V33" s="26">
        <v>2506</v>
      </c>
      <c r="W33" s="26">
        <v>91574</v>
      </c>
      <c r="X33" s="35">
        <v>1823.749</v>
      </c>
      <c r="Y33" s="34">
        <v>3.4297</v>
      </c>
      <c r="Z33" s="29">
        <f t="shared" si="23"/>
        <v>0.15</v>
      </c>
      <c r="AA33">
        <f t="shared" si="24"/>
        <v>1.8237490000000001</v>
      </c>
    </row>
    <row r="34" spans="1:27" x14ac:dyDescent="0.4">
      <c r="A34" s="21">
        <v>44743</v>
      </c>
      <c r="B34" s="31">
        <v>24000000</v>
      </c>
      <c r="C34" s="32">
        <v>93.56</v>
      </c>
      <c r="D34" s="33">
        <v>7544.8095238095239</v>
      </c>
      <c r="E34" s="33">
        <v>951.38713809523802</v>
      </c>
      <c r="F34" s="22">
        <f t="shared" si="18"/>
        <v>2022</v>
      </c>
      <c r="G34" s="22">
        <f t="shared" si="19"/>
        <v>7</v>
      </c>
      <c r="H34" s="23">
        <f t="shared" si="20"/>
        <v>7178034.7403308386</v>
      </c>
      <c r="I34" s="23">
        <f>IF(OR(B34="",C34="",config!$B$1=""),"",B34/(C34/config!$B$1))</f>
        <v>28140230.867892262</v>
      </c>
      <c r="J34" s="23">
        <f>IF(OR(H34="",C34="",config!$B$1=""),"",H34/(C34/config!$B$1))</f>
        <v>8416314.7821108699</v>
      </c>
      <c r="K34" s="22" t="e">
        <f ca="1">IF(D34="","",IF(D34&lt;=config!$B$2,1,0))</f>
        <v>#NAME?</v>
      </c>
      <c r="L34" s="24">
        <f t="shared" si="21"/>
        <v>17.152710849413737</v>
      </c>
      <c r="M34" s="24">
        <f t="shared" si="22"/>
        <v>15.945682616077516</v>
      </c>
      <c r="N34" s="25">
        <v>92.593273652973366</v>
      </c>
      <c r="O34" s="25">
        <v>86.23370233060902</v>
      </c>
      <c r="P34" s="25">
        <v>144.0338394991538</v>
      </c>
      <c r="Q34" s="25">
        <v>121.0283544489493</v>
      </c>
      <c r="R34" s="25">
        <v>116.10773721578801</v>
      </c>
      <c r="S34" s="25">
        <v>142.9146709084832</v>
      </c>
      <c r="T34" s="26">
        <v>427579</v>
      </c>
      <c r="U34" s="26">
        <v>3538</v>
      </c>
      <c r="V34" s="26">
        <v>2366</v>
      </c>
      <c r="W34" s="26">
        <v>104366</v>
      </c>
      <c r="X34" s="35">
        <v>1152.221</v>
      </c>
      <c r="Y34" s="34">
        <v>2.8307875269588036</v>
      </c>
      <c r="Z34" s="29">
        <f t="shared" si="23"/>
        <v>0.15</v>
      </c>
      <c r="AA34">
        <f t="shared" si="24"/>
        <v>1.1522209999999999</v>
      </c>
    </row>
    <row r="35" spans="1:27" x14ac:dyDescent="0.4">
      <c r="A35" s="21">
        <v>44774</v>
      </c>
      <c r="B35" s="30">
        <v>30000000</v>
      </c>
      <c r="C35" s="32">
        <v>94.69</v>
      </c>
      <c r="D35" s="33">
        <v>7990.8121739130429</v>
      </c>
      <c r="E35" s="33">
        <v>902.27326956521699</v>
      </c>
      <c r="F35" s="22">
        <f t="shared" si="18"/>
        <v>2022</v>
      </c>
      <c r="G35" s="22">
        <f t="shared" si="19"/>
        <v>8</v>
      </c>
      <c r="H35" s="23">
        <f t="shared" si="20"/>
        <v>7209896.226638061</v>
      </c>
      <c r="I35" s="23">
        <f>IF(OR(B35="",C35="",config!$B$1=""),"",B35/(C35/config!$B$1))</f>
        <v>34755518.006125249</v>
      </c>
      <c r="J35" s="23">
        <f>IF(OR(H35="",C35="",config!$B$1=""),"",H35/(C35/config!$B$1))</f>
        <v>8352789.2709071217</v>
      </c>
      <c r="K35" s="22" t="e">
        <f ca="1">IF(D35="","",IF(D35&lt;=config!$B$2,1,0))</f>
        <v>#NAME?</v>
      </c>
      <c r="L35" s="24">
        <f t="shared" si="21"/>
        <v>17.363848937684615</v>
      </c>
      <c r="M35" s="24">
        <f t="shared" si="22"/>
        <v>15.938106085466638</v>
      </c>
      <c r="N35" s="25">
        <v>92.226152839663101</v>
      </c>
      <c r="O35" s="25">
        <v>86.05565239252941</v>
      </c>
      <c r="P35" s="25">
        <v>142.13738403199741</v>
      </c>
      <c r="Q35" s="25">
        <v>123.7902618511859</v>
      </c>
      <c r="R35" s="25">
        <v>118.6278902971269</v>
      </c>
      <c r="S35" s="25">
        <v>146.75187259229239</v>
      </c>
      <c r="T35" s="26">
        <v>420492</v>
      </c>
      <c r="U35" s="26">
        <v>3674</v>
      </c>
      <c r="V35" s="26">
        <v>2484</v>
      </c>
      <c r="W35" s="26">
        <v>96821</v>
      </c>
      <c r="X35" s="35">
        <v>1856.7860000000001</v>
      </c>
      <c r="Y35" s="34">
        <v>2.6895131148123692</v>
      </c>
      <c r="Z35" s="29">
        <f t="shared" si="23"/>
        <v>0.15</v>
      </c>
      <c r="AA35">
        <f t="shared" si="24"/>
        <v>1.856786</v>
      </c>
    </row>
    <row r="36" spans="1:27" x14ac:dyDescent="0.4">
      <c r="A36" s="21">
        <v>44805</v>
      </c>
      <c r="B36" s="31">
        <v>30000000</v>
      </c>
      <c r="C36" s="32">
        <v>95.51</v>
      </c>
      <c r="D36" s="33">
        <v>7746.011363636364</v>
      </c>
      <c r="E36" s="33">
        <v>924.64386818181799</v>
      </c>
      <c r="F36" s="22">
        <f t="shared" si="18"/>
        <v>2022</v>
      </c>
      <c r="G36" s="22">
        <f t="shared" si="19"/>
        <v>9</v>
      </c>
      <c r="H36" s="23">
        <f t="shared" si="20"/>
        <v>7162301.9102530461</v>
      </c>
      <c r="I36" s="23">
        <f>IF(OR(B36="",C36="",config!$B$1=""),"",B36/(C36/config!$B$1))</f>
        <v>34457124.908386551</v>
      </c>
      <c r="J36" s="23">
        <f>IF(OR(H36="",C36="",config!$B$1=""),"",H36/(C36/config!$B$1))</f>
        <v>8226411.0517721614</v>
      </c>
      <c r="K36" s="22" t="e">
        <f ca="1">IF(D36="","",IF(D36&lt;=config!$B$2,1,0))</f>
        <v>#NAME?</v>
      </c>
      <c r="L36" s="24">
        <f t="shared" si="21"/>
        <v>17.355226381882542</v>
      </c>
      <c r="M36" s="24">
        <f t="shared" si="22"/>
        <v>15.92286039634805</v>
      </c>
      <c r="N36" s="25">
        <v>93.696324332618786</v>
      </c>
      <c r="O36" s="25">
        <v>88.069962770459114</v>
      </c>
      <c r="P36" s="25">
        <v>139.2061877718248</v>
      </c>
      <c r="Q36" s="25">
        <v>125.4717589503325</v>
      </c>
      <c r="R36" s="25">
        <v>120.0612541352038</v>
      </c>
      <c r="S36" s="25">
        <v>149.53703673534361</v>
      </c>
      <c r="T36" s="26">
        <v>436874</v>
      </c>
      <c r="U36" s="26">
        <v>3939</v>
      </c>
      <c r="V36" s="26">
        <v>2923</v>
      </c>
      <c r="W36" s="26">
        <v>111782</v>
      </c>
      <c r="X36" s="35">
        <v>2860.174</v>
      </c>
      <c r="Y36" s="34">
        <v>2.5804267792099362</v>
      </c>
      <c r="Z36" s="29">
        <f t="shared" si="23"/>
        <v>0.15</v>
      </c>
      <c r="AA36">
        <f t="shared" si="24"/>
        <v>2.8601739999999998</v>
      </c>
    </row>
    <row r="37" spans="1:27" x14ac:dyDescent="0.4">
      <c r="A37" s="21">
        <v>44835</v>
      </c>
      <c r="B37" s="30">
        <v>55800000</v>
      </c>
      <c r="C37" s="32">
        <v>96</v>
      </c>
      <c r="D37" s="33">
        <v>7651.0828571428574</v>
      </c>
      <c r="E37" s="33">
        <v>953.29571904761895</v>
      </c>
      <c r="F37" s="22">
        <f t="shared" si="18"/>
        <v>2022</v>
      </c>
      <c r="G37" s="22">
        <f t="shared" si="19"/>
        <v>10</v>
      </c>
      <c r="H37" s="23">
        <f t="shared" si="20"/>
        <v>7293744.5337929111</v>
      </c>
      <c r="I37" s="23">
        <f>IF(OR(B37="",C37="",config!$B$1=""),"",B37/(C37/config!$B$1))</f>
        <v>63763125.000000007</v>
      </c>
      <c r="J37" s="23">
        <f>IF(OR(H37="",C37="",config!$B$1=""),"",H37/(C37/config!$B$1))</f>
        <v>8334622.6599696083</v>
      </c>
      <c r="K37" s="22" t="e">
        <f ca="1">IF(D37="","",IF(D37&lt;=config!$B$2,1,0))</f>
        <v>#NAME?</v>
      </c>
      <c r="L37" s="24">
        <f t="shared" si="21"/>
        <v>17.970685618847934</v>
      </c>
      <c r="M37" s="24">
        <f t="shared" si="22"/>
        <v>15.935928801392938</v>
      </c>
      <c r="N37" s="25">
        <v>105.0953139512595</v>
      </c>
      <c r="O37" s="25">
        <v>99.589301814855773</v>
      </c>
      <c r="P37" s="25">
        <v>149.63170885833691</v>
      </c>
      <c r="Q37" s="25">
        <v>123.50744417623569</v>
      </c>
      <c r="R37" s="25">
        <v>117.59958236656379</v>
      </c>
      <c r="S37" s="25">
        <v>149.7849063397787</v>
      </c>
      <c r="T37" s="26">
        <v>482893</v>
      </c>
      <c r="U37" s="26">
        <v>3847</v>
      </c>
      <c r="V37" s="26">
        <v>3066</v>
      </c>
      <c r="W37" s="26">
        <v>125912</v>
      </c>
      <c r="X37" s="37">
        <v>3203.0360000000001</v>
      </c>
      <c r="Y37" s="38">
        <v>2.984</v>
      </c>
      <c r="Z37" s="29">
        <f t="shared" si="23"/>
        <v>0.15</v>
      </c>
      <c r="AA37">
        <f t="shared" si="24"/>
        <v>3.203036</v>
      </c>
    </row>
    <row r="38" spans="1:27" x14ac:dyDescent="0.4">
      <c r="A38" s="21">
        <v>44866</v>
      </c>
      <c r="B38" s="31">
        <v>71400000</v>
      </c>
      <c r="C38" s="32">
        <v>96.94</v>
      </c>
      <c r="D38" s="33">
        <v>8049.8613636363643</v>
      </c>
      <c r="E38" s="33">
        <v>915.35272272727298</v>
      </c>
      <c r="F38" s="22">
        <f t="shared" si="18"/>
        <v>2022</v>
      </c>
      <c r="G38" s="22">
        <f t="shared" si="19"/>
        <v>11</v>
      </c>
      <c r="H38" s="23">
        <f t="shared" si="20"/>
        <v>7368462.5167816244</v>
      </c>
      <c r="I38" s="23">
        <f>IF(OR(B38="",C38="",config!$B$1=""),"",B38/(C38/config!$B$1))</f>
        <v>80798225.70662266</v>
      </c>
      <c r="J38" s="23">
        <f>IF(OR(H38="",C38="",config!$B$1=""),"",H38/(C38/config!$B$1))</f>
        <v>8338357.1084273187</v>
      </c>
      <c r="K38" s="22" t="e">
        <f ca="1">IF(D38="","",IF(D38&lt;=config!$B$2,1,0))</f>
        <v>#NAME?</v>
      </c>
      <c r="L38" s="24">
        <f t="shared" si="21"/>
        <v>18.207465576550277</v>
      </c>
      <c r="M38" s="24">
        <f t="shared" si="22"/>
        <v>15.936376765532765</v>
      </c>
      <c r="N38" s="25">
        <v>100.3495627678174</v>
      </c>
      <c r="O38" s="25">
        <v>94.568597531503485</v>
      </c>
      <c r="P38" s="25">
        <v>147.10996654649941</v>
      </c>
      <c r="Q38" s="25">
        <v>125.2959203341935</v>
      </c>
      <c r="R38" s="25">
        <v>119.90998527202331</v>
      </c>
      <c r="S38" s="25">
        <v>149.2519147990229</v>
      </c>
      <c r="T38" s="26">
        <v>456938</v>
      </c>
      <c r="U38" s="26">
        <v>4066</v>
      </c>
      <c r="V38" s="26">
        <v>2813</v>
      </c>
      <c r="W38" s="26">
        <v>114516</v>
      </c>
      <c r="X38" s="37">
        <v>3368.998</v>
      </c>
      <c r="Y38" s="38">
        <v>3.4196</v>
      </c>
      <c r="Z38" s="29">
        <f t="shared" si="23"/>
        <v>0.15</v>
      </c>
      <c r="AA38">
        <f t="shared" si="24"/>
        <v>3.3689979999999999</v>
      </c>
    </row>
    <row r="39" spans="1:27" x14ac:dyDescent="0.4">
      <c r="A39" s="21">
        <v>44896</v>
      </c>
      <c r="B39" s="30">
        <v>55200000</v>
      </c>
      <c r="C39" s="32">
        <v>97.21</v>
      </c>
      <c r="D39" s="33">
        <v>8371.0913636363639</v>
      </c>
      <c r="E39" s="33">
        <v>872.44046363636403</v>
      </c>
      <c r="F39" s="22">
        <f t="shared" si="18"/>
        <v>2022</v>
      </c>
      <c r="G39" s="22">
        <f t="shared" si="19"/>
        <v>12</v>
      </c>
      <c r="H39" s="23">
        <f t="shared" si="20"/>
        <v>7303278.8304332718</v>
      </c>
      <c r="I39" s="23">
        <f>IF(OR(B39="",C39="",config!$B$1=""),"",B39/(C39/config!$B$1))</f>
        <v>62292356.753420435</v>
      </c>
      <c r="J39" s="23">
        <f>IF(OR(H39="",C39="",config!$B$1=""),"",H39/(C39/config!$B$1))</f>
        <v>8241638.5937509509</v>
      </c>
      <c r="K39" s="22" t="e">
        <f ca="1">IF(D39="","",IF(D39&lt;=config!$B$2,1,0))</f>
        <v>#NAME?</v>
      </c>
      <c r="L39" s="24">
        <f t="shared" si="21"/>
        <v>17.947349307748865</v>
      </c>
      <c r="M39" s="24">
        <f t="shared" si="22"/>
        <v>15.924709740580852</v>
      </c>
      <c r="N39" s="25">
        <v>110.0449417946224</v>
      </c>
      <c r="O39" s="25">
        <v>104.220764987</v>
      </c>
      <c r="P39" s="25">
        <v>157.15487033944589</v>
      </c>
      <c r="Q39" s="25">
        <v>123.5516196240924</v>
      </c>
      <c r="R39" s="25">
        <v>117.0263504876353</v>
      </c>
      <c r="S39" s="25">
        <v>152.57523567406051</v>
      </c>
      <c r="T39" s="26">
        <v>495758</v>
      </c>
      <c r="U39" s="26">
        <v>4215</v>
      </c>
      <c r="V39" s="26">
        <v>3662</v>
      </c>
      <c r="W39" s="26">
        <v>153132</v>
      </c>
      <c r="X39" s="36">
        <v>2438.962</v>
      </c>
      <c r="Y39" s="28">
        <v>4.09</v>
      </c>
      <c r="Z39" s="29">
        <f t="shared" si="23"/>
        <v>0.15</v>
      </c>
      <c r="AA39">
        <f t="shared" si="24"/>
        <v>2.4389620000000001</v>
      </c>
    </row>
    <row r="40" spans="1:27" x14ac:dyDescent="0.4">
      <c r="A40" s="21">
        <v>44927</v>
      </c>
      <c r="B40" s="31">
        <v>87000000</v>
      </c>
      <c r="C40" s="32">
        <v>98</v>
      </c>
      <c r="D40" s="33">
        <v>9007.3463636363631</v>
      </c>
      <c r="E40" s="33">
        <v>825.07181363636403</v>
      </c>
      <c r="F40" s="22">
        <f t="shared" si="18"/>
        <v>2023</v>
      </c>
      <c r="G40" s="22">
        <f t="shared" si="19"/>
        <v>1</v>
      </c>
      <c r="H40" s="23">
        <f t="shared" si="20"/>
        <v>7431707.6002963623</v>
      </c>
      <c r="I40" s="23">
        <f>IF(OR(B40="",C40="",config!$B$1=""),"",B40/(C40/config!$B$1))</f>
        <v>97386734.693877548</v>
      </c>
      <c r="J40" s="23">
        <f>IF(OR(H40="",C40="",config!$B$1=""),"",H40/(C40/config!$B$1))</f>
        <v>8318962.4872705201</v>
      </c>
      <c r="K40" s="22" t="e">
        <f ca="1">IF(D40="","",IF(D40&lt;=config!$B$2,1,0))</f>
        <v>#NAME?</v>
      </c>
      <c r="L40" s="24">
        <f t="shared" si="21"/>
        <v>18.394200575497809</v>
      </c>
      <c r="M40" s="24">
        <f t="shared" si="22"/>
        <v>15.934048103972353</v>
      </c>
      <c r="N40" s="25">
        <v>93.164226359537096</v>
      </c>
      <c r="O40" s="25">
        <v>86.515517175058207</v>
      </c>
      <c r="P40" s="25">
        <v>146.943537143198</v>
      </c>
      <c r="Q40" s="25">
        <v>131.9189199407403</v>
      </c>
      <c r="R40" s="25">
        <v>126.8740969980993</v>
      </c>
      <c r="S40" s="25">
        <v>154.35768852872479</v>
      </c>
      <c r="T40" s="26">
        <v>433405</v>
      </c>
      <c r="U40" s="26">
        <v>3772</v>
      </c>
      <c r="V40" s="26">
        <v>2421</v>
      </c>
      <c r="W40" s="26">
        <v>103027</v>
      </c>
      <c r="X40" s="27">
        <v>3479.2840000000001</v>
      </c>
      <c r="Y40" s="28">
        <v>4.1519499874112027</v>
      </c>
      <c r="Z40" s="29">
        <f t="shared" si="23"/>
        <v>0.15</v>
      </c>
      <c r="AA40">
        <f t="shared" si="24"/>
        <v>3.4792840000000003</v>
      </c>
    </row>
    <row r="41" spans="1:27" x14ac:dyDescent="0.4">
      <c r="A41" s="21">
        <v>44958</v>
      </c>
      <c r="B41" s="30">
        <v>28200000</v>
      </c>
      <c r="C41" s="32">
        <v>97.93</v>
      </c>
      <c r="D41" s="33">
        <v>8936.5869999999995</v>
      </c>
      <c r="E41" s="33">
        <v>801.34175000000005</v>
      </c>
      <c r="F41" s="22">
        <f t="shared" si="18"/>
        <v>2023</v>
      </c>
      <c r="G41" s="22">
        <f t="shared" si="19"/>
        <v>2</v>
      </c>
      <c r="H41" s="23">
        <f t="shared" si="20"/>
        <v>7161260.2656072499</v>
      </c>
      <c r="I41" s="23">
        <f>IF(OR(B41="",C41="",config!$B$1=""),"",B41/(C41/config!$B$1))</f>
        <v>31589298.478505056</v>
      </c>
      <c r="J41" s="23">
        <f>IF(OR(H41="",C41="",config!$B$1=""),"",H41/(C41/config!$B$1))</f>
        <v>8021957.0217207735</v>
      </c>
      <c r="K41" s="22" t="e">
        <f ca="1">IF(D41="","",IF(D41&lt;=config!$B$2,1,0))</f>
        <v>#NAME?</v>
      </c>
      <c r="L41" s="24">
        <f t="shared" si="21"/>
        <v>17.268328997113112</v>
      </c>
      <c r="M41" s="24">
        <f t="shared" si="22"/>
        <v>15.897692967746147</v>
      </c>
      <c r="N41" s="25">
        <v>84.417567189436895</v>
      </c>
      <c r="O41" s="25">
        <v>79.614245829358978</v>
      </c>
      <c r="P41" s="25">
        <v>123.27011812074571</v>
      </c>
      <c r="Q41" s="25">
        <v>130.99041144234641</v>
      </c>
      <c r="R41" s="25">
        <v>124.8849897469061</v>
      </c>
      <c r="S41" s="25">
        <v>158.146596330042</v>
      </c>
      <c r="T41" s="26">
        <v>382219</v>
      </c>
      <c r="U41" s="26">
        <v>3747</v>
      </c>
      <c r="V41" s="26">
        <v>2616</v>
      </c>
      <c r="W41" s="26">
        <v>100466</v>
      </c>
      <c r="X41" s="27">
        <v>2268.0529999999999</v>
      </c>
      <c r="Y41" s="28">
        <v>2.2169837381225217</v>
      </c>
      <c r="Z41" s="29">
        <f t="shared" si="23"/>
        <v>0.1</v>
      </c>
    </row>
    <row r="42" spans="1:27" x14ac:dyDescent="0.4">
      <c r="A42" s="21">
        <v>44986</v>
      </c>
      <c r="B42" s="31">
        <v>42000000</v>
      </c>
      <c r="C42" s="32">
        <v>99</v>
      </c>
      <c r="D42" s="33">
        <v>8856.3108695652172</v>
      </c>
      <c r="E42" s="33">
        <v>807.39866956521701</v>
      </c>
      <c r="F42" s="22">
        <f t="shared" si="18"/>
        <v>2023</v>
      </c>
      <c r="G42" s="22">
        <f t="shared" si="19"/>
        <v>3</v>
      </c>
      <c r="H42" s="23">
        <f t="shared" si="20"/>
        <v>7150573.6133429268</v>
      </c>
      <c r="I42" s="23">
        <f>IF(OR(B42="",C42="",config!$B$1=""),"",B42/(C42/config!$B$1))</f>
        <v>46539393.939393945</v>
      </c>
      <c r="J42" s="23">
        <f>IF(OR(H42="",C42="",config!$B$1=""),"",H42/(C42/config!$B$1))</f>
        <v>7923413.3877143348</v>
      </c>
      <c r="K42" s="22" t="e">
        <f ca="1">IF(D42="","",IF(D42&lt;=config!$B$2,1,0))</f>
        <v>#NAME?</v>
      </c>
      <c r="L42" s="24">
        <f t="shared" si="21"/>
        <v>17.655809714881411</v>
      </c>
      <c r="M42" s="24">
        <f t="shared" si="22"/>
        <v>15.885332654241248</v>
      </c>
      <c r="N42" s="25">
        <v>92.723835683808616</v>
      </c>
      <c r="O42" s="25">
        <v>86.928677080964064</v>
      </c>
      <c r="P42" s="25">
        <v>139.59904512604709</v>
      </c>
      <c r="Q42" s="25">
        <v>127.8805520912742</v>
      </c>
      <c r="R42" s="25">
        <v>119.91178303609669</v>
      </c>
      <c r="S42" s="25">
        <v>163.3246829940359</v>
      </c>
      <c r="T42" s="26">
        <v>437837</v>
      </c>
      <c r="U42" s="26">
        <v>4063</v>
      </c>
      <c r="V42" s="26">
        <v>3710</v>
      </c>
      <c r="W42" s="26">
        <v>122532</v>
      </c>
      <c r="X42" s="27">
        <v>2339.8429999999998</v>
      </c>
      <c r="Y42" s="28">
        <v>3.0584369756432377</v>
      </c>
      <c r="Z42" s="29">
        <f>IF(Y42&lt;=2.41,10%,15%)</f>
        <v>0.15</v>
      </c>
    </row>
    <row r="43" spans="1:27" x14ac:dyDescent="0.4">
      <c r="A43" s="21">
        <v>45017</v>
      </c>
      <c r="B43" s="30">
        <v>24960000</v>
      </c>
      <c r="C43" s="32">
        <v>99.3</v>
      </c>
      <c r="D43" s="33">
        <v>8809.1574999999993</v>
      </c>
      <c r="E43" s="33">
        <v>804.97700999999995</v>
      </c>
      <c r="F43" s="22">
        <f t="shared" si="18"/>
        <v>2023</v>
      </c>
      <c r="G43" s="22">
        <f t="shared" si="19"/>
        <v>4</v>
      </c>
      <c r="H43" s="23">
        <f t="shared" si="20"/>
        <v>7091169.2649690742</v>
      </c>
      <c r="I43" s="23">
        <f>IF(OR(B43="",C43="",config!$B$1=""),"",B43/(C43/config!$B$1))</f>
        <v>27574138.972809672</v>
      </c>
      <c r="J43" s="23">
        <f>IF(OR(H43="",C43="",config!$B$1=""),"",H43/(C43/config!$B$1))</f>
        <v>7833849.6310886964</v>
      </c>
      <c r="K43" s="22" t="e">
        <f ca="1">IF(D43="","",IF(D43&lt;=config!$B$2,1,0))</f>
        <v>#NAME?</v>
      </c>
      <c r="L43" s="24">
        <f t="shared" si="21"/>
        <v>17.132388933961423</v>
      </c>
      <c r="M43" s="24">
        <f t="shared" si="22"/>
        <v>15.873964598626035</v>
      </c>
      <c r="N43" s="25">
        <v>91.329329602101652</v>
      </c>
      <c r="O43" s="25">
        <v>86.045183364213813</v>
      </c>
      <c r="P43" s="25">
        <v>134.07112125950829</v>
      </c>
      <c r="Q43" s="25">
        <v>128.4021090433246</v>
      </c>
      <c r="R43" s="25">
        <v>119.51368203545179</v>
      </c>
      <c r="S43" s="25">
        <v>167.9367684374246</v>
      </c>
      <c r="T43" s="26">
        <v>414753</v>
      </c>
      <c r="U43" s="26">
        <v>3280</v>
      </c>
      <c r="V43" s="26">
        <v>3001</v>
      </c>
      <c r="W43" s="26">
        <v>110143</v>
      </c>
      <c r="X43" s="27">
        <v>1938.567</v>
      </c>
      <c r="Y43" s="28">
        <v>2.9440189563734451</v>
      </c>
      <c r="Z43" s="29">
        <f>IF(Y43&lt;=2,10%,IF(Y43&lt;=2.4,13%,15.5%))</f>
        <v>0.155</v>
      </c>
    </row>
    <row r="44" spans="1:27" x14ac:dyDescent="0.4">
      <c r="A44" s="21">
        <v>45047</v>
      </c>
      <c r="B44" s="31">
        <v>26100000</v>
      </c>
      <c r="C44" s="32">
        <v>99.41</v>
      </c>
      <c r="D44" s="33">
        <v>8243.1560869565219</v>
      </c>
      <c r="E44" s="33">
        <v>799.35107826087005</v>
      </c>
      <c r="F44" s="22">
        <f t="shared" si="18"/>
        <v>2023</v>
      </c>
      <c r="G44" s="22">
        <f t="shared" si="19"/>
        <v>5</v>
      </c>
      <c r="H44" s="23">
        <f t="shared" si="20"/>
        <v>6589175.7063813498</v>
      </c>
      <c r="I44" s="23">
        <f>IF(OR(B44="",C44="",config!$B$1=""),"",B44/(C44/config!$B$1))</f>
        <v>28801629.61472689</v>
      </c>
      <c r="J44" s="23">
        <f>IF(OR(H44="",C44="",config!$B$1=""),"",H44/(C44/config!$B$1))</f>
        <v>7271225.9832012281</v>
      </c>
      <c r="K44" s="22" t="e">
        <f ca="1">IF(D44="","",IF(D44&lt;=config!$B$2,1,0))</f>
        <v>#NAME?</v>
      </c>
      <c r="L44" s="24">
        <f t="shared" si="21"/>
        <v>17.175942562070311</v>
      </c>
      <c r="M44" s="24">
        <f t="shared" si="22"/>
        <v>15.799435471220905</v>
      </c>
      <c r="N44" s="25">
        <v>89.878459704248939</v>
      </c>
      <c r="O44" s="25">
        <v>83.116478981173373</v>
      </c>
      <c r="P44" s="25">
        <v>144.57398822403141</v>
      </c>
      <c r="Q44" s="25">
        <v>129.27533808436851</v>
      </c>
      <c r="R44" s="25">
        <v>119.71927861689839</v>
      </c>
      <c r="S44" s="25">
        <v>171.77954674373709</v>
      </c>
      <c r="T44" s="26">
        <v>411187</v>
      </c>
      <c r="U44" s="26">
        <v>3361</v>
      </c>
      <c r="V44" s="26">
        <v>2915</v>
      </c>
      <c r="W44" s="26">
        <v>102852</v>
      </c>
      <c r="X44" s="27">
        <v>1961.32</v>
      </c>
      <c r="Y44" s="28">
        <v>2.8862021385597449</v>
      </c>
      <c r="Z44" s="29">
        <f t="shared" ref="Z44:Z79" si="25">IF(Y44&lt;=2,10%,IF(Y44&lt;=2.4,13%,15.5%))</f>
        <v>0.155</v>
      </c>
    </row>
    <row r="45" spans="1:27" x14ac:dyDescent="0.4">
      <c r="A45" s="21">
        <v>45078</v>
      </c>
      <c r="B45" s="30">
        <v>40800000</v>
      </c>
      <c r="C45" s="32">
        <v>99.26</v>
      </c>
      <c r="D45" s="33">
        <v>8396.5177272727269</v>
      </c>
      <c r="E45" s="33">
        <v>799.51019545454506</v>
      </c>
      <c r="F45" s="22">
        <f t="shared" si="18"/>
        <v>2023</v>
      </c>
      <c r="G45" s="22">
        <f t="shared" si="19"/>
        <v>6</v>
      </c>
      <c r="H45" s="23">
        <f t="shared" si="20"/>
        <v>6713101.5292693703</v>
      </c>
      <c r="I45" s="23">
        <f>IF(OR(B45="",C45="",config!$B$1=""),"",B45/(C45/config!$B$1))</f>
        <v>45091275.438242994</v>
      </c>
      <c r="J45" s="23">
        <f>IF(OR(H45="",C45="",config!$B$1=""),"",H45/(C45/config!$B$1))</f>
        <v>7419174.2671856731</v>
      </c>
      <c r="K45" s="22" t="e">
        <f ca="1">IF(D45="","",IF(D45&lt;=config!$B$2,1,0))</f>
        <v>#NAME?</v>
      </c>
      <c r="L45" s="24">
        <f t="shared" si="21"/>
        <v>17.624199358673518</v>
      </c>
      <c r="M45" s="24">
        <f t="shared" si="22"/>
        <v>15.819578324205091</v>
      </c>
      <c r="N45" s="25">
        <v>96.701910637319571</v>
      </c>
      <c r="O45" s="25">
        <v>91.848191008375593</v>
      </c>
      <c r="P45" s="25">
        <v>135.96211726375671</v>
      </c>
      <c r="Q45" s="25">
        <v>129.72186885772521</v>
      </c>
      <c r="R45" s="25">
        <v>120.6096602568133</v>
      </c>
      <c r="S45" s="25">
        <v>170.25188199120271</v>
      </c>
      <c r="T45" s="26">
        <v>458577</v>
      </c>
      <c r="U45" s="26">
        <v>3857</v>
      </c>
      <c r="V45" s="26">
        <v>3311</v>
      </c>
      <c r="W45" s="26">
        <v>115705</v>
      </c>
      <c r="X45" s="27">
        <v>2015.077</v>
      </c>
      <c r="Y45" s="28">
        <v>3.4943985688884349</v>
      </c>
      <c r="Z45" s="29">
        <f t="shared" si="25"/>
        <v>0.155</v>
      </c>
    </row>
    <row r="46" spans="1:27" x14ac:dyDescent="0.4">
      <c r="A46" s="21">
        <v>45108</v>
      </c>
      <c r="B46" s="31">
        <v>36000000</v>
      </c>
      <c r="C46" s="32">
        <v>99.61</v>
      </c>
      <c r="D46" s="33">
        <v>8476.6790476190472</v>
      </c>
      <c r="E46" s="33">
        <v>815.01689047619004</v>
      </c>
      <c r="F46" s="22">
        <f t="shared" si="18"/>
        <v>2023</v>
      </c>
      <c r="G46" s="22">
        <f t="shared" si="19"/>
        <v>7</v>
      </c>
      <c r="H46" s="23">
        <f t="shared" si="20"/>
        <v>6908636.5989551479</v>
      </c>
      <c r="I46" s="23">
        <f>IF(OR(B46="",C46="",config!$B$1=""),"",B46/(C46/config!$B$1))</f>
        <v>39646621.825117961</v>
      </c>
      <c r="J46" s="23">
        <f>IF(OR(H46="",C46="",config!$B$1=""),"",H46/(C46/config!$B$1))</f>
        <v>7608447.2934984416</v>
      </c>
      <c r="K46" s="22" t="e">
        <f ca="1">IF(D46="","",IF(D46&lt;=config!$B$2,1,0))</f>
        <v>#NAME?</v>
      </c>
      <c r="L46" s="24">
        <f t="shared" si="21"/>
        <v>17.495516327767323</v>
      </c>
      <c r="M46" s="24">
        <f t="shared" si="22"/>
        <v>15.844769673999977</v>
      </c>
      <c r="N46" s="25">
        <v>94.085373413479445</v>
      </c>
      <c r="O46" s="25">
        <v>88.158714154581602</v>
      </c>
      <c r="P46" s="25">
        <v>142.02425017127081</v>
      </c>
      <c r="Q46" s="25">
        <v>131.48805390197811</v>
      </c>
      <c r="R46" s="25">
        <v>122.1128092696574</v>
      </c>
      <c r="S46" s="25">
        <v>173.18801981797989</v>
      </c>
      <c r="T46" s="26">
        <v>435120</v>
      </c>
      <c r="U46" s="26">
        <v>4140</v>
      </c>
      <c r="V46" s="26">
        <v>2895</v>
      </c>
      <c r="W46" s="26">
        <v>119655</v>
      </c>
      <c r="X46" s="27">
        <v>2719.0320000000002</v>
      </c>
      <c r="Y46" s="28">
        <v>2.5476853221293458</v>
      </c>
      <c r="Z46" s="29">
        <f t="shared" si="25"/>
        <v>0.155</v>
      </c>
    </row>
    <row r="47" spans="1:27" x14ac:dyDescent="0.4">
      <c r="A47" s="21">
        <v>45139</v>
      </c>
      <c r="B47" s="30">
        <v>44640000</v>
      </c>
      <c r="C47" s="32">
        <v>99.72</v>
      </c>
      <c r="D47" s="33">
        <v>8347.8282608695645</v>
      </c>
      <c r="E47" s="33">
        <v>856.54436086956503</v>
      </c>
      <c r="F47" s="22">
        <f t="shared" si="18"/>
        <v>2023</v>
      </c>
      <c r="G47" s="22">
        <f t="shared" si="19"/>
        <v>8</v>
      </c>
      <c r="H47" s="23">
        <f t="shared" si="20"/>
        <v>7150285.2223554133</v>
      </c>
      <c r="I47" s="23">
        <f>IF(OR(B47="",C47="",config!$B$1=""),"",B47/(C47/config!$B$1))</f>
        <v>49107581.227436826</v>
      </c>
      <c r="J47" s="23">
        <f>IF(OR(H47="",C47="",config!$B$1=""),"",H47/(C47/config!$B$1))</f>
        <v>7865887.3735698843</v>
      </c>
      <c r="K47" s="22" t="e">
        <f ca="1">IF(D47="","",IF(D47&lt;=config!$B$2,1,0))</f>
        <v>#NAME?</v>
      </c>
      <c r="L47" s="24">
        <f t="shared" si="21"/>
        <v>17.709524005026612</v>
      </c>
      <c r="M47" s="24">
        <f t="shared" si="22"/>
        <v>15.878045913738903</v>
      </c>
      <c r="N47" s="25">
        <v>93.664341739857548</v>
      </c>
      <c r="O47" s="25">
        <v>87.218549149462589</v>
      </c>
      <c r="P47" s="25">
        <v>145.802324218488</v>
      </c>
      <c r="Q47" s="25">
        <v>129.2882675470396</v>
      </c>
      <c r="R47" s="25">
        <v>119.2871915036944</v>
      </c>
      <c r="S47" s="25">
        <v>173.7718566678071</v>
      </c>
      <c r="T47" s="26">
        <v>439295</v>
      </c>
      <c r="U47" s="26">
        <v>3535</v>
      </c>
      <c r="V47" s="26">
        <v>2831</v>
      </c>
      <c r="W47" s="26">
        <v>119278</v>
      </c>
      <c r="X47" s="27">
        <v>2615.1089999999999</v>
      </c>
      <c r="Y47" s="28">
        <v>2.9251091594270062</v>
      </c>
      <c r="Z47" s="29">
        <f t="shared" si="25"/>
        <v>0.155</v>
      </c>
    </row>
    <row r="48" spans="1:27" x14ac:dyDescent="0.4">
      <c r="A48" s="21">
        <v>45170</v>
      </c>
      <c r="B48" s="31">
        <v>68100000</v>
      </c>
      <c r="C48" s="32">
        <v>100.39</v>
      </c>
      <c r="D48" s="33">
        <v>8276.7138095238097</v>
      </c>
      <c r="E48" s="33">
        <v>886.60476190476197</v>
      </c>
      <c r="F48" s="22">
        <f t="shared" si="18"/>
        <v>2023</v>
      </c>
      <c r="G48" s="22">
        <f t="shared" si="19"/>
        <v>9</v>
      </c>
      <c r="H48" s="23">
        <f t="shared" si="20"/>
        <v>7338173.8764467128</v>
      </c>
      <c r="I48" s="23">
        <f>IF(OR(B48="",C48="",config!$B$1=""),"",B48/(C48/config!$B$1))</f>
        <v>74415479.629445165</v>
      </c>
      <c r="J48" s="23">
        <f>IF(OR(H48="",C48="",config!$B$1=""),"",H48/(C48/config!$B$1))</f>
        <v>8018703.7976512043</v>
      </c>
      <c r="K48" s="22" t="e">
        <f ca="1">IF(D48="","",IF(D48&lt;=config!$B$2,1,0))</f>
        <v>#NAME?</v>
      </c>
      <c r="L48" s="24">
        <f t="shared" si="21"/>
        <v>18.125174551135554</v>
      </c>
      <c r="M48" s="24">
        <f t="shared" si="22"/>
        <v>15.897287345540079</v>
      </c>
      <c r="N48" s="25">
        <v>99.722835885746136</v>
      </c>
      <c r="O48" s="25">
        <v>92.675370385994867</v>
      </c>
      <c r="P48" s="25">
        <v>156.72756068752091</v>
      </c>
      <c r="Q48" s="25">
        <v>129.3233238804055</v>
      </c>
      <c r="R48" s="25">
        <v>118.87886746094961</v>
      </c>
      <c r="S48" s="25">
        <v>175.77901584187131</v>
      </c>
      <c r="T48" s="26">
        <v>458711</v>
      </c>
      <c r="U48" s="26">
        <v>3802</v>
      </c>
      <c r="V48" s="26">
        <v>3329</v>
      </c>
      <c r="W48" s="26">
        <v>116678</v>
      </c>
      <c r="X48" s="27">
        <v>3137.605</v>
      </c>
      <c r="Y48" s="28">
        <v>3.4209459264311479</v>
      </c>
      <c r="Z48" s="29">
        <f t="shared" si="25"/>
        <v>0.155</v>
      </c>
    </row>
    <row r="49" spans="1:26" x14ac:dyDescent="0.4">
      <c r="A49" s="21">
        <v>45200</v>
      </c>
      <c r="B49" s="30">
        <v>39600000</v>
      </c>
      <c r="C49" s="32">
        <v>100.84</v>
      </c>
      <c r="D49" s="33">
        <v>7941.3559090909093</v>
      </c>
      <c r="E49" s="33">
        <v>925.09589090909105</v>
      </c>
      <c r="F49" s="22">
        <f t="shared" ref="F49:F77" si="26">YEAR(A49)</f>
        <v>2023</v>
      </c>
      <c r="G49" s="22">
        <f t="shared" ref="G49:G77" si="27">MONTH(A49)</f>
        <v>10</v>
      </c>
      <c r="H49" s="23">
        <f t="shared" ref="H49:H77" si="28">IF(OR(D49="",E49=""),"",D49*E49)</f>
        <v>7346515.7197466297</v>
      </c>
      <c r="I49" s="23">
        <f>IF(OR(B49="",C49="",config!$B$1=""),"",B49/(C49/config!$B$1))</f>
        <v>43079333.597778656</v>
      </c>
      <c r="J49" s="23">
        <f>IF(OR(H49="",C49="",config!$B$1=""),"",H49/(C49/config!$B$1))</f>
        <v>7991994.9866739912</v>
      </c>
      <c r="K49" s="22" t="e">
        <f ca="1">IF(D49="","",IF(D49&lt;=config!$B$2,1,0))</f>
        <v>#NAME?</v>
      </c>
      <c r="L49" s="24">
        <f t="shared" ref="L49:L77" si="29">IF(I49="","",LN(1+MAX(0,I49)))</f>
        <v>17.578553964399163</v>
      </c>
      <c r="M49" s="24">
        <f t="shared" ref="M49:M77" si="30">IF(J49="","",LN(J49))</f>
        <v>15.893950972017286</v>
      </c>
      <c r="N49" s="25">
        <v>100.6442231900626</v>
      </c>
      <c r="O49" s="25">
        <v>93.551252638271706</v>
      </c>
      <c r="P49" s="25">
        <v>158.01702399997109</v>
      </c>
      <c r="Q49" s="25">
        <v>130.0586271434816</v>
      </c>
      <c r="R49" s="25">
        <v>119.48031499155699</v>
      </c>
      <c r="S49" s="25">
        <v>177.10969338055469</v>
      </c>
      <c r="T49" s="26">
        <v>461707</v>
      </c>
      <c r="U49" s="26">
        <v>3667</v>
      </c>
      <c r="V49" s="26">
        <v>3134</v>
      </c>
      <c r="W49" s="26">
        <v>114734</v>
      </c>
      <c r="X49" s="27">
        <v>2500.165</v>
      </c>
      <c r="Y49" s="28">
        <v>2.5194668759461876</v>
      </c>
      <c r="Z49" s="29">
        <f t="shared" si="25"/>
        <v>0.155</v>
      </c>
    </row>
    <row r="50" spans="1:26" x14ac:dyDescent="0.4">
      <c r="A50" s="21">
        <v>45231</v>
      </c>
      <c r="B50" s="31">
        <v>44700000</v>
      </c>
      <c r="C50" s="32">
        <v>101.59</v>
      </c>
      <c r="D50" s="33">
        <v>8189.5877272727266</v>
      </c>
      <c r="E50" s="33">
        <v>885.23861818181797</v>
      </c>
      <c r="F50" s="22">
        <f t="shared" si="26"/>
        <v>2023</v>
      </c>
      <c r="G50" s="22">
        <f t="shared" si="27"/>
        <v>11</v>
      </c>
      <c r="H50" s="23">
        <f t="shared" si="28"/>
        <v>7249739.323169684</v>
      </c>
      <c r="I50" s="23">
        <f>IF(OR(B50="",C50="",config!$B$1=""),"",B50/(C50/config!$B$1))</f>
        <v>48268431.9322768</v>
      </c>
      <c r="J50" s="23">
        <f>IF(OR(H50="",C50="",config!$B$1=""),"",H50/(C50/config!$B$1))</f>
        <v>7828491.0301379506</v>
      </c>
      <c r="K50" s="22" t="e">
        <f ca="1">IF(D50="","",IF(D50&lt;=config!$B$2,1,0))</f>
        <v>#NAME?</v>
      </c>
      <c r="L50" s="24">
        <f t="shared" si="29"/>
        <v>17.692288342479003</v>
      </c>
      <c r="M50" s="24">
        <f t="shared" si="30"/>
        <v>15.873280332937306</v>
      </c>
      <c r="N50" s="25">
        <v>102.1800620304377</v>
      </c>
      <c r="O50" s="25">
        <v>94.950301802845175</v>
      </c>
      <c r="P50" s="25">
        <v>160.65931136784519</v>
      </c>
      <c r="Q50" s="25">
        <v>128.86250696148889</v>
      </c>
      <c r="R50" s="25">
        <v>117.8208738976645</v>
      </c>
      <c r="S50" s="25">
        <v>177.9743691555849</v>
      </c>
      <c r="T50" s="26">
        <v>444905</v>
      </c>
      <c r="U50" s="26">
        <v>3622</v>
      </c>
      <c r="V50" s="26">
        <v>3366</v>
      </c>
      <c r="W50" s="26">
        <v>122996</v>
      </c>
      <c r="X50" s="27">
        <v>2141.1999999999998</v>
      </c>
      <c r="Y50" s="28">
        <v>3.322964854520829</v>
      </c>
      <c r="Z50" s="29">
        <f t="shared" si="25"/>
        <v>0.155</v>
      </c>
    </row>
    <row r="51" spans="1:26" x14ac:dyDescent="0.4">
      <c r="A51" s="21">
        <v>45261</v>
      </c>
      <c r="B51" s="30">
        <v>39000000</v>
      </c>
      <c r="C51" s="32">
        <v>101.04</v>
      </c>
      <c r="D51" s="33">
        <v>8407.9004761904762</v>
      </c>
      <c r="E51" s="33">
        <v>875.75591428571397</v>
      </c>
      <c r="F51" s="22">
        <f t="shared" si="26"/>
        <v>2023</v>
      </c>
      <c r="G51" s="22">
        <f t="shared" si="27"/>
        <v>12</v>
      </c>
      <c r="H51" s="23">
        <f t="shared" si="28"/>
        <v>7363268.5687494799</v>
      </c>
      <c r="I51" s="23">
        <f>IF(OR(B51="",C51="",config!$B$1=""),"",B51/(C51/config!$B$1))</f>
        <v>42342636.579572447</v>
      </c>
      <c r="J51" s="23">
        <f>IF(OR(H51="",C51="",config!$B$1=""),"",H51/(C51/config!$B$1))</f>
        <v>7994364.2319063535</v>
      </c>
      <c r="K51" s="22" t="e">
        <f ca="1">IF(D51="","",IF(D51&lt;=config!$B$2,1,0))</f>
        <v>#NAME?</v>
      </c>
      <c r="L51" s="24">
        <f t="shared" si="29"/>
        <v>17.561305116949725</v>
      </c>
      <c r="M51" s="24">
        <f t="shared" si="30"/>
        <v>15.8942473803761</v>
      </c>
      <c r="N51" s="25">
        <v>105.8973075291143</v>
      </c>
      <c r="O51" s="25">
        <v>98.982474434406242</v>
      </c>
      <c r="P51" s="25">
        <v>161.82921065484771</v>
      </c>
      <c r="Q51" s="25">
        <v>127.73206257283699</v>
      </c>
      <c r="R51" s="25">
        <v>115.0767133212133</v>
      </c>
      <c r="S51" s="25">
        <v>184.02154120985151</v>
      </c>
      <c r="T51" s="26">
        <v>495537</v>
      </c>
      <c r="U51" s="26">
        <v>3295</v>
      </c>
      <c r="V51" s="26">
        <v>3697</v>
      </c>
      <c r="W51" s="26">
        <v>129678</v>
      </c>
      <c r="X51" s="27">
        <v>2439.08</v>
      </c>
      <c r="Y51" s="28">
        <v>2.9094198875395638</v>
      </c>
      <c r="Z51" s="29">
        <f t="shared" si="25"/>
        <v>0.155</v>
      </c>
    </row>
    <row r="52" spans="1:26" x14ac:dyDescent="0.4">
      <c r="A52" s="21">
        <v>45292</v>
      </c>
      <c r="B52" s="31">
        <v>30000000</v>
      </c>
      <c r="C52" s="32">
        <v>101.72</v>
      </c>
      <c r="D52" s="33">
        <v>8351.3395652173913</v>
      </c>
      <c r="E52" s="33">
        <v>910.140847826087</v>
      </c>
      <c r="F52" s="22">
        <f t="shared" si="26"/>
        <v>2024</v>
      </c>
      <c r="G52" s="22">
        <f t="shared" si="27"/>
        <v>1</v>
      </c>
      <c r="H52" s="23">
        <f t="shared" si="28"/>
        <v>7600895.2723705014</v>
      </c>
      <c r="I52" s="23">
        <f>IF(OR(B52="",C52="",config!$B$1=""),"",B52/(C52/config!$B$1))</f>
        <v>32353519.465198588</v>
      </c>
      <c r="J52" s="23">
        <f>IF(OR(H52="",C52="",config!$B$1=""),"",H52/(C52/config!$B$1))</f>
        <v>8197190.4382524975</v>
      </c>
      <c r="K52" s="22" t="e">
        <f ca="1">IF(D52="","",IF(D52&lt;=config!$B$2,1,0))</f>
        <v>#NAME?</v>
      </c>
      <c r="L52" s="24">
        <f t="shared" si="29"/>
        <v>17.292233397262233</v>
      </c>
      <c r="M52" s="24">
        <f t="shared" si="30"/>
        <v>15.919302024042187</v>
      </c>
      <c r="N52" s="25">
        <v>94.224423803974886</v>
      </c>
      <c r="O52" s="25">
        <v>88.033284629958317</v>
      </c>
      <c r="P52" s="25">
        <v>144.302595146106</v>
      </c>
      <c r="Q52" s="25">
        <v>131.16553876344989</v>
      </c>
      <c r="R52" s="25">
        <v>120.9866939517388</v>
      </c>
      <c r="S52" s="25">
        <v>176.43982208714351</v>
      </c>
      <c r="T52" s="26">
        <v>436075</v>
      </c>
      <c r="U52" s="26">
        <v>3203</v>
      </c>
      <c r="V52" s="26">
        <v>2598</v>
      </c>
      <c r="W52" s="26">
        <v>92566</v>
      </c>
      <c r="X52" s="27">
        <v>1858.3889999999999</v>
      </c>
      <c r="Y52" s="28">
        <v>2.7285137699911055</v>
      </c>
      <c r="Z52" s="29">
        <f t="shared" si="25"/>
        <v>0.155</v>
      </c>
    </row>
    <row r="53" spans="1:26" x14ac:dyDescent="0.4">
      <c r="A53" s="21">
        <v>45323</v>
      </c>
      <c r="B53" s="30">
        <v>33000000</v>
      </c>
      <c r="C53" s="32">
        <v>102.32</v>
      </c>
      <c r="D53" s="33">
        <v>8304.9504761904755</v>
      </c>
      <c r="E53" s="33">
        <v>965.80120952381003</v>
      </c>
      <c r="F53" s="22">
        <f t="shared" si="26"/>
        <v>2024</v>
      </c>
      <c r="G53" s="22">
        <f t="shared" si="27"/>
        <v>2</v>
      </c>
      <c r="H53" s="23">
        <f t="shared" si="28"/>
        <v>8020931.2149401037</v>
      </c>
      <c r="I53" s="23">
        <f>IF(OR(B53="",C53="",config!$B$1=""),"",B53/(C53/config!$B$1))</f>
        <v>35380179.827990621</v>
      </c>
      <c r="J53" s="23">
        <f>IF(OR(H53="",C53="",config!$B$1=""),"",H53/(C53/config!$B$1))</f>
        <v>8599454.2052280046</v>
      </c>
      <c r="K53" s="22" t="e">
        <f ca="1">IF(D53="","",IF(D53&lt;=config!$B$2,1,0))</f>
        <v>#NAME?</v>
      </c>
      <c r="L53" s="24">
        <f t="shared" si="29"/>
        <v>17.381662357705764</v>
      </c>
      <c r="M53" s="24">
        <f t="shared" si="30"/>
        <v>15.967209294701407</v>
      </c>
      <c r="N53" s="25">
        <v>91.123481926842956</v>
      </c>
      <c r="O53" s="25">
        <v>83.69742453839271</v>
      </c>
      <c r="P53" s="25">
        <v>151.19051706248641</v>
      </c>
      <c r="Q53" s="25">
        <v>132.2947989108076</v>
      </c>
      <c r="R53" s="25">
        <v>121.66560135447961</v>
      </c>
      <c r="S53" s="25">
        <v>179.5721973357287</v>
      </c>
      <c r="T53" s="26">
        <v>420381</v>
      </c>
      <c r="U53" s="26">
        <v>2821</v>
      </c>
      <c r="V53" s="26">
        <v>2995</v>
      </c>
      <c r="W53" s="26">
        <v>93950</v>
      </c>
      <c r="X53" s="27">
        <v>2181.1550000000002</v>
      </c>
      <c r="Y53" s="28">
        <v>2.5702424780448889</v>
      </c>
      <c r="Z53" s="29">
        <f t="shared" si="25"/>
        <v>0.155</v>
      </c>
    </row>
    <row r="54" spans="1:26" x14ac:dyDescent="0.4">
      <c r="A54" s="21">
        <v>45352</v>
      </c>
      <c r="B54" s="31">
        <v>68400000</v>
      </c>
      <c r="C54" s="32">
        <v>102.7</v>
      </c>
      <c r="D54" s="33">
        <v>8692.8190476190484</v>
      </c>
      <c r="E54" s="33">
        <v>969.68880000000001</v>
      </c>
      <c r="F54" s="22">
        <f t="shared" si="26"/>
        <v>2024</v>
      </c>
      <c r="G54" s="22">
        <f t="shared" si="27"/>
        <v>3</v>
      </c>
      <c r="H54" s="23">
        <f t="shared" si="28"/>
        <v>8429329.2709028572</v>
      </c>
      <c r="I54" s="23">
        <f>IF(OR(B54="",C54="",config!$B$1=""),"",B54/(C54/config!$B$1))</f>
        <v>73062122.687439144</v>
      </c>
      <c r="J54" s="23">
        <f>IF(OR(H54="",C54="",config!$B$1=""),"",H54/(C54/config!$B$1))</f>
        <v>9003869.7275369372</v>
      </c>
      <c r="K54" s="22" t="e">
        <f ca="1">IF(D54="","",IF(D54&lt;=config!$B$2,1,0))</f>
        <v>#NAME?</v>
      </c>
      <c r="L54" s="24">
        <f t="shared" si="29"/>
        <v>18.106820646626435</v>
      </c>
      <c r="M54" s="24">
        <f t="shared" si="30"/>
        <v>16.013165012616327</v>
      </c>
      <c r="N54" s="25">
        <v>96.956464522358047</v>
      </c>
      <c r="O54" s="25">
        <v>89.011740465649737</v>
      </c>
      <c r="P54" s="25">
        <v>161.21883068714209</v>
      </c>
      <c r="Q54" s="25">
        <v>129.76184532090321</v>
      </c>
      <c r="R54" s="25">
        <v>118.68854665814889</v>
      </c>
      <c r="S54" s="25">
        <v>179.0145523086953</v>
      </c>
      <c r="T54" s="26">
        <v>437396</v>
      </c>
      <c r="U54" s="26">
        <v>3517</v>
      </c>
      <c r="V54" s="26">
        <v>2623</v>
      </c>
      <c r="W54" s="26">
        <v>102617</v>
      </c>
      <c r="X54" s="27">
        <v>2196.8609999999999</v>
      </c>
      <c r="Y54" s="28">
        <v>4.3249078913959513</v>
      </c>
      <c r="Z54" s="29">
        <f t="shared" si="25"/>
        <v>0.155</v>
      </c>
    </row>
    <row r="55" spans="1:26" x14ac:dyDescent="0.4">
      <c r="A55" s="21">
        <v>45383</v>
      </c>
      <c r="B55" s="30">
        <v>101838000</v>
      </c>
      <c r="C55" s="32">
        <v>103.24</v>
      </c>
      <c r="D55" s="33">
        <v>9445.5936363636356</v>
      </c>
      <c r="E55" s="33">
        <v>958.687504545455</v>
      </c>
      <c r="F55" s="22">
        <f t="shared" si="26"/>
        <v>2024</v>
      </c>
      <c r="G55" s="22">
        <f t="shared" si="27"/>
        <v>4</v>
      </c>
      <c r="H55" s="23">
        <f t="shared" si="28"/>
        <v>9055372.5921958834</v>
      </c>
      <c r="I55" s="23">
        <f>IF(OR(B55="",C55="",config!$B$1=""),"",B55/(C55/config!$B$1))</f>
        <v>108210273.14994189</v>
      </c>
      <c r="J55" s="23">
        <f>IF(OR(H55="",C55="",config!$B$1=""),"",H55/(C55/config!$B$1))</f>
        <v>9621991.2181701716</v>
      </c>
      <c r="K55" s="22" t="e">
        <f ca="1">IF(D55="","",IF(D55&lt;=config!$B$2,1,0))</f>
        <v>#NAME?</v>
      </c>
      <c r="L55" s="24">
        <f t="shared" si="29"/>
        <v>18.499586875043761</v>
      </c>
      <c r="M55" s="24">
        <f t="shared" si="30"/>
        <v>16.079561788558742</v>
      </c>
      <c r="N55" s="25">
        <v>90.091204073121602</v>
      </c>
      <c r="O55" s="25">
        <v>82.427269376055179</v>
      </c>
      <c r="P55" s="25">
        <v>152.0823537027957</v>
      </c>
      <c r="Q55" s="25">
        <v>129.68141887025871</v>
      </c>
      <c r="R55" s="25">
        <v>119.0576364910219</v>
      </c>
      <c r="S55" s="25">
        <v>176.93473123567011</v>
      </c>
      <c r="T55" s="26">
        <v>408507</v>
      </c>
      <c r="U55" s="26">
        <v>2855</v>
      </c>
      <c r="V55" s="26">
        <v>2776</v>
      </c>
      <c r="W55" s="26">
        <v>91414</v>
      </c>
      <c r="X55" s="27">
        <v>2389.0059999999999</v>
      </c>
      <c r="Y55" s="28">
        <v>5.0999056065158488</v>
      </c>
      <c r="Z55" s="29">
        <f t="shared" si="25"/>
        <v>0.155</v>
      </c>
    </row>
    <row r="56" spans="1:26" x14ac:dyDescent="0.4">
      <c r="A56" s="21">
        <v>45413</v>
      </c>
      <c r="B56" s="31">
        <v>57600000</v>
      </c>
      <c r="C56" s="32">
        <v>103.52</v>
      </c>
      <c r="D56" s="33">
        <v>10117.163478260871</v>
      </c>
      <c r="E56" s="33">
        <v>916.88411304347801</v>
      </c>
      <c r="F56" s="22">
        <f t="shared" si="26"/>
        <v>2024</v>
      </c>
      <c r="G56" s="22">
        <f t="shared" si="27"/>
        <v>5</v>
      </c>
      <c r="H56" s="23">
        <f t="shared" si="28"/>
        <v>9276266.4622810874</v>
      </c>
      <c r="I56" s="23">
        <f>IF(OR(B56="",C56="",config!$B$1=""),"",B56/(C56/config!$B$1))</f>
        <v>61038639.8763524</v>
      </c>
      <c r="J56" s="23">
        <f>IF(OR(H56="",C56="",config!$B$1=""),"",H56/(C56/config!$B$1))</f>
        <v>9830046.666462861</v>
      </c>
      <c r="K56" s="22" t="e">
        <f ca="1">IF(D56="","",IF(D56&lt;=config!$B$2,1,0))</f>
        <v>#NAME?</v>
      </c>
      <c r="L56" s="24">
        <f t="shared" si="29"/>
        <v>17.92701767857778</v>
      </c>
      <c r="M56" s="24">
        <f t="shared" si="30"/>
        <v>16.100954239463338</v>
      </c>
      <c r="N56" s="25">
        <v>96.154243411771489</v>
      </c>
      <c r="O56" s="25">
        <v>88.542827578787751</v>
      </c>
      <c r="P56" s="25">
        <v>157.72058452070269</v>
      </c>
      <c r="Q56" s="25">
        <v>132.65518604793951</v>
      </c>
      <c r="R56" s="25">
        <v>121.7672510391952</v>
      </c>
      <c r="S56" s="25">
        <v>181.0834176905615</v>
      </c>
      <c r="T56" s="26">
        <v>444662</v>
      </c>
      <c r="U56" s="26">
        <v>2757</v>
      </c>
      <c r="V56" s="26">
        <v>2713</v>
      </c>
      <c r="W56" s="26">
        <v>98195</v>
      </c>
      <c r="X56" s="27">
        <v>2414.2420000000002</v>
      </c>
      <c r="Y56" s="28">
        <v>3.5797275994701443</v>
      </c>
      <c r="Z56" s="29">
        <f t="shared" si="25"/>
        <v>0.155</v>
      </c>
    </row>
    <row r="57" spans="1:26" x14ac:dyDescent="0.4">
      <c r="A57" s="21">
        <v>45444</v>
      </c>
      <c r="B57" s="30">
        <v>25593000</v>
      </c>
      <c r="C57" s="32">
        <v>103.42</v>
      </c>
      <c r="D57" s="33">
        <v>9648.1669999999995</v>
      </c>
      <c r="E57" s="33">
        <v>927.89400499999999</v>
      </c>
      <c r="F57" s="22">
        <f t="shared" si="26"/>
        <v>2024</v>
      </c>
      <c r="G57" s="22">
        <f t="shared" si="27"/>
        <v>6</v>
      </c>
      <c r="H57" s="23">
        <f t="shared" si="28"/>
        <v>8952476.3185388353</v>
      </c>
      <c r="I57" s="23">
        <f>IF(OR(B57="",C57="",config!$B$1=""),"",B57/(C57/config!$B$1))</f>
        <v>27147090.504737962</v>
      </c>
      <c r="J57" s="23">
        <f>IF(OR(H57="",C57="",config!$B$1=""),"",H57/(C57/config!$B$1))</f>
        <v>9496099.9046964832</v>
      </c>
      <c r="K57" s="22" t="e">
        <f ca="1">IF(D57="","",IF(D57&lt;=config!$B$2,1,0))</f>
        <v>#NAME?</v>
      </c>
      <c r="L57" s="24">
        <f t="shared" si="29"/>
        <v>17.11678047170841</v>
      </c>
      <c r="M57" s="24">
        <f t="shared" si="30"/>
        <v>16.066391735929912</v>
      </c>
      <c r="N57" s="25">
        <v>98.580709024874452</v>
      </c>
      <c r="O57" s="25">
        <v>91.172282341325271</v>
      </c>
      <c r="P57" s="25">
        <v>158.5051349514367</v>
      </c>
      <c r="Q57" s="25">
        <v>129.47894051682329</v>
      </c>
      <c r="R57" s="25">
        <v>118.6590272576303</v>
      </c>
      <c r="S57" s="25">
        <v>177.60461955958539</v>
      </c>
      <c r="T57" s="26">
        <v>451602</v>
      </c>
      <c r="U57" s="26">
        <v>2827</v>
      </c>
      <c r="V57" s="26">
        <v>2636</v>
      </c>
      <c r="W57" s="26">
        <v>91417</v>
      </c>
      <c r="X57" s="27">
        <v>1663.78</v>
      </c>
      <c r="Y57" s="28">
        <v>2.3982999999999999</v>
      </c>
      <c r="Z57" s="29">
        <f t="shared" si="25"/>
        <v>0.13</v>
      </c>
    </row>
    <row r="58" spans="1:26" x14ac:dyDescent="0.4">
      <c r="A58" s="21">
        <v>45474</v>
      </c>
      <c r="B58" s="31">
        <v>33000000</v>
      </c>
      <c r="C58" s="32">
        <v>104.19</v>
      </c>
      <c r="D58" s="33">
        <v>9385.3130434782597</v>
      </c>
      <c r="E58" s="33">
        <v>935.95153478260897</v>
      </c>
      <c r="F58" s="22">
        <f t="shared" si="26"/>
        <v>2024</v>
      </c>
      <c r="G58" s="22">
        <f t="shared" si="27"/>
        <v>7</v>
      </c>
      <c r="H58" s="23">
        <f t="shared" si="28"/>
        <v>8784198.1474587154</v>
      </c>
      <c r="I58" s="23">
        <f>IF(OR(B58="",C58="",config!$B$1=""),"",B58/(C58/config!$B$1))</f>
        <v>34745177.080334008</v>
      </c>
      <c r="J58" s="23">
        <f>IF(OR(H58="",C58="",config!$B$1=""),"",H58/(C58/config!$B$1))</f>
        <v>9248743.0346119702</v>
      </c>
      <c r="K58" s="22" t="e">
        <f ca="1">IF(D58="","",IF(D58&lt;=config!$B$2,1,0))</f>
        <v>#NAME?</v>
      </c>
      <c r="L58" s="24">
        <f t="shared" si="29"/>
        <v>17.363551360068818</v>
      </c>
      <c r="M58" s="24">
        <f t="shared" si="30"/>
        <v>16.039998212104919</v>
      </c>
      <c r="N58" s="25">
        <v>96.834917902474785</v>
      </c>
      <c r="O58" s="25">
        <v>90.37029473837201</v>
      </c>
      <c r="P58" s="25">
        <v>149.1252149503799</v>
      </c>
      <c r="Q58" s="25">
        <v>132.67550030007499</v>
      </c>
      <c r="R58" s="25">
        <v>121.7607064751837</v>
      </c>
      <c r="S58" s="25">
        <v>181.22319674194239</v>
      </c>
      <c r="T58" s="26">
        <v>443879</v>
      </c>
      <c r="U58" s="26">
        <v>3330</v>
      </c>
      <c r="V58" s="26">
        <v>2720</v>
      </c>
      <c r="W58" s="26">
        <v>86637</v>
      </c>
      <c r="X58" s="27">
        <v>1997.835</v>
      </c>
      <c r="Y58" s="28">
        <v>2.356738169618612</v>
      </c>
      <c r="Z58" s="29">
        <f t="shared" si="25"/>
        <v>0.13</v>
      </c>
    </row>
    <row r="59" spans="1:26" x14ac:dyDescent="0.4">
      <c r="A59" s="21">
        <v>45505</v>
      </c>
      <c r="B59" s="30">
        <v>42000000</v>
      </c>
      <c r="C59" s="32">
        <v>104.45</v>
      </c>
      <c r="D59" s="33">
        <v>8981.1177272727273</v>
      </c>
      <c r="E59" s="33">
        <v>927.760218181818</v>
      </c>
      <c r="F59" s="22">
        <f t="shared" si="26"/>
        <v>2024</v>
      </c>
      <c r="G59" s="22">
        <f t="shared" si="27"/>
        <v>8</v>
      </c>
      <c r="H59" s="23">
        <f t="shared" si="28"/>
        <v>8332323.7421711385</v>
      </c>
      <c r="I59" s="23">
        <f>IF(OR(B59="",C59="",config!$B$1=""),"",B59/(C59/config!$B$1))</f>
        <v>44111057.92245093</v>
      </c>
      <c r="J59" s="23">
        <f>IF(OR(H59="",C59="",config!$B$1=""),"",H59/(C59/config!$B$1))</f>
        <v>8751133.695702957</v>
      </c>
      <c r="K59" s="22" t="e">
        <f ca="1">IF(D59="","",IF(D59&lt;=config!$B$2,1,0))</f>
        <v>#NAME?</v>
      </c>
      <c r="L59" s="24">
        <f t="shared" si="29"/>
        <v>17.602221078196305</v>
      </c>
      <c r="M59" s="24">
        <f t="shared" si="30"/>
        <v>15.984693815164144</v>
      </c>
      <c r="N59" s="25">
        <v>102.0448934848185</v>
      </c>
      <c r="O59" s="25">
        <v>95.25477022659075</v>
      </c>
      <c r="P59" s="25">
        <v>156.9680580918772</v>
      </c>
      <c r="Q59" s="25">
        <v>133.0847902950556</v>
      </c>
      <c r="R59" s="25">
        <v>122.4049856654857</v>
      </c>
      <c r="S59" s="25">
        <v>180.58728292413369</v>
      </c>
      <c r="T59" s="26">
        <v>470696</v>
      </c>
      <c r="U59" s="26">
        <v>3361</v>
      </c>
      <c r="V59" s="26">
        <v>2801</v>
      </c>
      <c r="W59" s="26">
        <v>104420</v>
      </c>
      <c r="X59" s="27">
        <v>2613.04</v>
      </c>
      <c r="Y59" s="28">
        <v>3.0348329295762788</v>
      </c>
      <c r="Z59" s="29">
        <f t="shared" si="25"/>
        <v>0.155</v>
      </c>
    </row>
    <row r="60" spans="1:26" x14ac:dyDescent="0.4">
      <c r="A60" s="21">
        <v>45536</v>
      </c>
      <c r="B60" s="31">
        <v>61920000</v>
      </c>
      <c r="C60" s="32">
        <v>104.54</v>
      </c>
      <c r="D60" s="33">
        <v>9259.1285714285714</v>
      </c>
      <c r="E60" s="33">
        <v>925.87954761904803</v>
      </c>
      <c r="F60" s="22">
        <f t="shared" si="26"/>
        <v>2024</v>
      </c>
      <c r="G60" s="22">
        <f t="shared" si="27"/>
        <v>9</v>
      </c>
      <c r="H60" s="23">
        <f t="shared" si="28"/>
        <v>8572837.7730608881</v>
      </c>
      <c r="I60" s="23">
        <f>IF(OR(B60="",C60="",config!$B$1=""),"",B60/(C60/config!$B$1))</f>
        <v>64976315.286014922</v>
      </c>
      <c r="J60" s="23">
        <f>IF(OR(H60="",C60="",config!$B$1=""),"",H60/(C60/config!$B$1))</f>
        <v>8995985.3042355031</v>
      </c>
      <c r="K60" s="22" t="e">
        <f ca="1">IF(D60="","",IF(D60&lt;=config!$B$2,1,0))</f>
        <v>#NAME?</v>
      </c>
      <c r="L60" s="24">
        <f t="shared" si="29"/>
        <v>17.989533396632378</v>
      </c>
      <c r="M60" s="24">
        <f t="shared" si="30"/>
        <v>16.012288958471249</v>
      </c>
      <c r="N60" s="25">
        <v>100.941096247232</v>
      </c>
      <c r="O60" s="25">
        <v>95.493371256222517</v>
      </c>
      <c r="P60" s="25">
        <v>145.00602482605331</v>
      </c>
      <c r="Q60" s="25">
        <v>132.62702977305131</v>
      </c>
      <c r="R60" s="25">
        <v>121.9614364192394</v>
      </c>
      <c r="S60" s="25">
        <v>180.06631234863539</v>
      </c>
      <c r="T60" s="26">
        <v>478285</v>
      </c>
      <c r="U60" s="26">
        <v>3263</v>
      </c>
      <c r="V60" s="26">
        <v>3067</v>
      </c>
      <c r="W60" s="26">
        <v>101938</v>
      </c>
      <c r="X60" s="27">
        <v>2762.1840000000002</v>
      </c>
      <c r="Y60" s="28">
        <v>2.4936215412152123</v>
      </c>
      <c r="Z60" s="29">
        <f t="shared" si="25"/>
        <v>0.155</v>
      </c>
    </row>
    <row r="61" spans="1:26" x14ac:dyDescent="0.4">
      <c r="A61" s="21">
        <v>45566</v>
      </c>
      <c r="B61" s="30">
        <v>46560000</v>
      </c>
      <c r="C61" s="32">
        <v>105.56</v>
      </c>
      <c r="D61" s="33">
        <v>9533.9913043478264</v>
      </c>
      <c r="E61" s="33">
        <v>938.564126086957</v>
      </c>
      <c r="F61" s="22">
        <f t="shared" si="26"/>
        <v>2024</v>
      </c>
      <c r="G61" s="22">
        <f t="shared" si="27"/>
        <v>10</v>
      </c>
      <c r="H61" s="23">
        <f t="shared" si="28"/>
        <v>8948262.2166858651</v>
      </c>
      <c r="I61" s="23">
        <f>IF(OR(B61="",C61="",config!$B$1=""),"",B61/(C61/config!$B$1))</f>
        <v>48386055.323986359</v>
      </c>
      <c r="J61" s="23">
        <f>IF(OR(H61="",C61="",config!$B$1=""),"",H61/(C61/config!$B$1))</f>
        <v>9299207.7033955995</v>
      </c>
      <c r="K61" s="22" t="e">
        <f ca="1">IF(D61="","",IF(D61&lt;=config!$B$2,1,0))</f>
        <v>#NAME?</v>
      </c>
      <c r="L61" s="24">
        <f t="shared" si="29"/>
        <v>17.694722237700628</v>
      </c>
      <c r="M61" s="24">
        <f t="shared" si="30"/>
        <v>16.045439761311069</v>
      </c>
      <c r="N61" s="25">
        <v>104.8209805249581</v>
      </c>
      <c r="O61" s="25">
        <v>98.022161600856052</v>
      </c>
      <c r="P61" s="25">
        <v>159.81448162960569</v>
      </c>
      <c r="Q61" s="25">
        <v>133.881016130685</v>
      </c>
      <c r="R61" s="25">
        <v>123.2453918366358</v>
      </c>
      <c r="S61" s="25">
        <v>181.18699991571509</v>
      </c>
      <c r="T61" s="26">
        <v>493082</v>
      </c>
      <c r="U61" s="26">
        <v>2897</v>
      </c>
      <c r="V61" s="26">
        <v>3385</v>
      </c>
      <c r="W61" s="26">
        <v>118588</v>
      </c>
      <c r="X61" s="27">
        <v>2800</v>
      </c>
      <c r="Y61" s="28">
        <v>2.5</v>
      </c>
      <c r="Z61" s="29">
        <f t="shared" si="25"/>
        <v>0.155</v>
      </c>
    </row>
    <row r="62" spans="1:26" x14ac:dyDescent="0.4">
      <c r="A62" s="21">
        <v>45597</v>
      </c>
      <c r="B62" s="31">
        <v>83279999</v>
      </c>
      <c r="C62" s="32">
        <v>105.83</v>
      </c>
      <c r="D62" s="33">
        <v>9075.7271428571439</v>
      </c>
      <c r="E62" s="33">
        <v>971.64713809523801</v>
      </c>
      <c r="F62" s="22">
        <f t="shared" si="26"/>
        <v>2024</v>
      </c>
      <c r="G62" s="22">
        <f t="shared" si="27"/>
        <v>11</v>
      </c>
      <c r="H62" s="23">
        <f t="shared" si="28"/>
        <v>8818404.3044904154</v>
      </c>
      <c r="I62" s="23">
        <f>IF(OR(B62="",C62="",config!$B$1=""),"",B62/(C62/config!$B$1))</f>
        <v>86325388.739487872</v>
      </c>
      <c r="J62" s="23">
        <f>IF(OR(H62="",C62="",config!$B$1=""),"",H62/(C62/config!$B$1))</f>
        <v>9140876.426368691</v>
      </c>
      <c r="K62" s="22" t="e">
        <f ca="1">IF(D62="","",IF(D62&lt;=config!$B$2,1,0))</f>
        <v>#NAME?</v>
      </c>
      <c r="L62" s="24">
        <f t="shared" si="29"/>
        <v>18.273634316022932</v>
      </c>
      <c r="M62" s="24">
        <f t="shared" si="30"/>
        <v>16.028266827932686</v>
      </c>
      <c r="N62" s="25">
        <v>104.1106691839983</v>
      </c>
      <c r="O62" s="25">
        <v>99.039213010490968</v>
      </c>
      <c r="P62" s="25">
        <v>145.13207801888379</v>
      </c>
      <c r="Q62" s="25">
        <v>132.5685751867702</v>
      </c>
      <c r="R62" s="25">
        <v>122.0630035152307</v>
      </c>
      <c r="S62" s="25">
        <v>179.29610047406169</v>
      </c>
      <c r="T62" s="26">
        <v>486766</v>
      </c>
      <c r="U62" s="26">
        <v>3529</v>
      </c>
      <c r="V62" s="26">
        <v>3235</v>
      </c>
      <c r="W62" s="26">
        <v>110873</v>
      </c>
      <c r="X62" s="27">
        <v>3100</v>
      </c>
      <c r="Y62" s="28">
        <v>2.7</v>
      </c>
      <c r="Z62" s="29">
        <f t="shared" si="25"/>
        <v>0.155</v>
      </c>
    </row>
    <row r="63" spans="1:26" x14ac:dyDescent="0.4">
      <c r="A63" s="21">
        <v>45627</v>
      </c>
      <c r="B63" s="30">
        <v>71100000</v>
      </c>
      <c r="C63" s="32">
        <v>105.62</v>
      </c>
      <c r="D63" s="33">
        <v>8909.9077272727263</v>
      </c>
      <c r="E63" s="33">
        <v>984.58837727272703</v>
      </c>
      <c r="F63" s="22">
        <f t="shared" si="26"/>
        <v>2024</v>
      </c>
      <c r="G63" s="22">
        <f t="shared" si="27"/>
        <v>12</v>
      </c>
      <c r="H63" s="23">
        <f t="shared" si="28"/>
        <v>8772591.5908451844</v>
      </c>
      <c r="I63" s="23">
        <f>IF(OR(B63="",C63="",config!$B$1=""),"",B63/(C63/config!$B$1))</f>
        <v>73846525.279303163</v>
      </c>
      <c r="J63" s="23">
        <f>IF(OR(H63="",C63="",config!$B$1=""),"",H63/(C63/config!$B$1))</f>
        <v>9111468.4483593702</v>
      </c>
      <c r="K63" s="22" t="e">
        <f ca="1">IF(D63="","",IF(D63&lt;=config!$B$2,1,0))</f>
        <v>#NAME?</v>
      </c>
      <c r="L63" s="24">
        <f t="shared" si="29"/>
        <v>18.117499528317467</v>
      </c>
      <c r="M63" s="24">
        <f t="shared" si="30"/>
        <v>16.02504444706511</v>
      </c>
      <c r="N63" s="25">
        <v>118.55667259936691</v>
      </c>
      <c r="O63" s="25">
        <v>113.1810856278789</v>
      </c>
      <c r="P63" s="25">
        <v>162.03809949936269</v>
      </c>
      <c r="Q63" s="25">
        <v>130.3872971304443</v>
      </c>
      <c r="R63" s="25">
        <v>119.7482674036462</v>
      </c>
      <c r="S63" s="25">
        <v>177.70842787271431</v>
      </c>
      <c r="T63" s="26">
        <v>567129</v>
      </c>
      <c r="U63" s="26">
        <v>3782</v>
      </c>
      <c r="V63" s="26">
        <v>4135</v>
      </c>
      <c r="W63" s="26">
        <v>132885</v>
      </c>
      <c r="X63" s="27">
        <v>2759</v>
      </c>
      <c r="Y63" s="28">
        <v>3.0631999999999997</v>
      </c>
      <c r="Z63" s="29">
        <f t="shared" si="25"/>
        <v>0.155</v>
      </c>
    </row>
    <row r="64" spans="1:26" x14ac:dyDescent="0.4">
      <c r="A64" s="21">
        <v>45658</v>
      </c>
      <c r="B64" s="31">
        <v>70500000</v>
      </c>
      <c r="C64" s="32">
        <v>106.74</v>
      </c>
      <c r="D64" s="33">
        <v>8976.6804347826092</v>
      </c>
      <c r="E64" s="33">
        <v>1000.1686826087</v>
      </c>
      <c r="F64" s="22">
        <f t="shared" si="26"/>
        <v>2025</v>
      </c>
      <c r="G64" s="22">
        <f t="shared" si="27"/>
        <v>1</v>
      </c>
      <c r="H64" s="23">
        <f t="shared" si="28"/>
        <v>8978194.6446558144</v>
      </c>
      <c r="I64" s="23">
        <f>IF(OR(B64="",C64="",config!$B$1=""),"",B64/(C64/config!$B$1))</f>
        <v>72455030.916245088</v>
      </c>
      <c r="J64" s="23">
        <f>IF(OR(H64="",C64="",config!$B$1=""),"",H64/(C64/config!$B$1))</f>
        <v>9227168.3766043</v>
      </c>
      <c r="K64" s="22" t="e">
        <f ca="1">IF(D64="","",IF(D64&lt;=config!$B$2,1,0))</f>
        <v>#NAME?</v>
      </c>
      <c r="L64" s="24">
        <f t="shared" si="29"/>
        <v>18.098476677959546</v>
      </c>
      <c r="M64" s="24">
        <f t="shared" si="30"/>
        <v>16.037662774644364</v>
      </c>
      <c r="N64" s="25">
        <v>94.707468170753017</v>
      </c>
      <c r="O64" s="25">
        <v>86.617846457708893</v>
      </c>
      <c r="P64" s="25">
        <v>160.1418657593359</v>
      </c>
      <c r="Q64" s="25">
        <v>134.6042587805062</v>
      </c>
      <c r="R64" s="25">
        <v>124.30939875776509</v>
      </c>
      <c r="S64" s="25">
        <v>180.3945638759422</v>
      </c>
      <c r="T64" s="26">
        <v>426584</v>
      </c>
      <c r="U64" s="26">
        <v>2809</v>
      </c>
      <c r="V64" s="26">
        <v>3362</v>
      </c>
      <c r="W64" s="26">
        <v>100779</v>
      </c>
      <c r="X64" s="27">
        <v>2759</v>
      </c>
      <c r="Y64" s="28">
        <v>3</v>
      </c>
      <c r="Z64" s="29">
        <f t="shared" si="25"/>
        <v>0.155</v>
      </c>
    </row>
    <row r="65" spans="1:26" x14ac:dyDescent="0.4">
      <c r="A65" s="21">
        <v>45689</v>
      </c>
      <c r="B65" s="30">
        <v>70721880</v>
      </c>
      <c r="C65" s="32">
        <v>107.16</v>
      </c>
      <c r="D65" s="33">
        <v>9330.9750000000004</v>
      </c>
      <c r="E65" s="33">
        <v>954.78276500000004</v>
      </c>
      <c r="F65" s="22">
        <f t="shared" si="26"/>
        <v>2025</v>
      </c>
      <c r="G65" s="22">
        <f t="shared" si="27"/>
        <v>2</v>
      </c>
      <c r="H65" s="23">
        <f t="shared" si="28"/>
        <v>8909054.1106458753</v>
      </c>
      <c r="I65" s="23">
        <f>IF(OR(B65="",C65="",config!$B$1=""),"",B65/(C65/config!$B$1))</f>
        <v>72398191.82530795</v>
      </c>
      <c r="J65" s="23">
        <f>IF(OR(H65="",C65="",config!$B$1=""),"",H65/(C65/config!$B$1))</f>
        <v>9120224.2995320316</v>
      </c>
      <c r="K65" s="22" t="e">
        <f ca="1">IF(D65="","",IF(D65&lt;=config!$B$2,1,0))</f>
        <v>#NAME?</v>
      </c>
      <c r="L65" s="24">
        <f t="shared" si="29"/>
        <v>18.097691896068007</v>
      </c>
      <c r="M65" s="24">
        <f t="shared" si="30"/>
        <v>16.026004955995013</v>
      </c>
      <c r="N65" s="25">
        <v>85.145760605577919</v>
      </c>
      <c r="O65" s="25">
        <v>78.311822292727882</v>
      </c>
      <c r="P65" s="25">
        <v>140.42333136489171</v>
      </c>
      <c r="Q65" s="25">
        <v>135.08747095284571</v>
      </c>
      <c r="R65" s="25">
        <v>124.8481017590133</v>
      </c>
      <c r="S65" s="25">
        <v>180.63095948349891</v>
      </c>
      <c r="T65" s="26">
        <v>397724</v>
      </c>
      <c r="U65" s="26">
        <v>2500</v>
      </c>
      <c r="V65" s="26">
        <v>2841</v>
      </c>
      <c r="W65" s="26">
        <v>92003</v>
      </c>
      <c r="X65" s="27">
        <v>2691.982</v>
      </c>
      <c r="Y65" s="28">
        <v>3.1592000000000002</v>
      </c>
      <c r="Z65" s="29">
        <f t="shared" si="25"/>
        <v>0.155</v>
      </c>
    </row>
    <row r="66" spans="1:26" x14ac:dyDescent="0.4">
      <c r="A66" s="21">
        <v>45717</v>
      </c>
      <c r="B66" s="31">
        <v>68760000</v>
      </c>
      <c r="C66" s="32">
        <v>107.7</v>
      </c>
      <c r="D66" s="33">
        <v>9735.8233333333319</v>
      </c>
      <c r="E66" s="33">
        <v>932.32762380952397</v>
      </c>
      <c r="F66" s="22">
        <f t="shared" si="26"/>
        <v>2025</v>
      </c>
      <c r="G66" s="22">
        <f t="shared" si="27"/>
        <v>3</v>
      </c>
      <c r="H66" s="23">
        <f t="shared" si="28"/>
        <v>9076977.0341959838</v>
      </c>
      <c r="I66" s="23">
        <f>IF(OR(B66="",C66="",config!$B$1=""),"",B66/(C66/config!$B$1))</f>
        <v>70036880.222841218</v>
      </c>
      <c r="J66" s="23">
        <f>IF(OR(H66="",C66="",config!$B$1=""),"",H66/(C66/config!$B$1))</f>
        <v>9245537.4248031508</v>
      </c>
      <c r="K66" s="22" t="e">
        <f ca="1">IF(D66="","",IF(D66&lt;=config!$B$2,1,0))</f>
        <v>#NAME?</v>
      </c>
      <c r="L66" s="24">
        <f t="shared" si="29"/>
        <v>18.064532535875955</v>
      </c>
      <c r="M66" s="24">
        <f t="shared" si="30"/>
        <v>16.039651552514897</v>
      </c>
      <c r="N66" s="25">
        <v>102.63131719258119</v>
      </c>
      <c r="O66" s="25">
        <v>95.189468283501611</v>
      </c>
      <c r="P66" s="25">
        <v>162.82608495603321</v>
      </c>
      <c r="Q66" s="25">
        <v>133.092012552006</v>
      </c>
      <c r="R66" s="25">
        <v>121.83683173607101</v>
      </c>
      <c r="S66" s="25">
        <v>183.15370958601119</v>
      </c>
      <c r="T66" s="26">
        <v>477464</v>
      </c>
      <c r="U66" s="26">
        <v>3738</v>
      </c>
      <c r="V66" s="26">
        <v>3565</v>
      </c>
      <c r="W66" s="26">
        <v>100490</v>
      </c>
      <c r="X66" s="27">
        <v>2639.6559999999999</v>
      </c>
      <c r="Y66" s="28">
        <v>3.4707928624032824</v>
      </c>
      <c r="Z66" s="29">
        <f t="shared" si="25"/>
        <v>0.155</v>
      </c>
    </row>
    <row r="67" spans="1:26" x14ac:dyDescent="0.4">
      <c r="A67" s="21">
        <v>45748</v>
      </c>
      <c r="B67" s="30">
        <v>88800000</v>
      </c>
      <c r="C67" s="32">
        <v>107.91</v>
      </c>
      <c r="D67" s="33">
        <v>9172.6959090909095</v>
      </c>
      <c r="E67" s="33">
        <v>962.85089090909105</v>
      </c>
      <c r="F67" s="22">
        <f t="shared" si="26"/>
        <v>2025</v>
      </c>
      <c r="G67" s="22">
        <f t="shared" si="27"/>
        <v>4</v>
      </c>
      <c r="H67" s="23">
        <f t="shared" si="28"/>
        <v>8831938.4281063564</v>
      </c>
      <c r="I67" s="23">
        <f>IF(OR(B67="",C67="",config!$B$1=""),"",B67/(C67/config!$B$1))</f>
        <v>90273005.282179609</v>
      </c>
      <c r="J67" s="23">
        <f>IF(OR(H67="",C67="",config!$B$1=""),"",H67/(C67/config!$B$1))</f>
        <v>8978441.7159046195</v>
      </c>
      <c r="K67" s="22" t="e">
        <f ca="1">IF(D67="","",IF(D67&lt;=config!$B$2,1,0))</f>
        <v>#NAME?</v>
      </c>
      <c r="L67" s="24">
        <f t="shared" si="29"/>
        <v>18.318349039945449</v>
      </c>
      <c r="M67" s="24">
        <f t="shared" si="30"/>
        <v>16.010336896924905</v>
      </c>
      <c r="N67" s="25">
        <v>99.887170998244912</v>
      </c>
      <c r="O67" s="25">
        <v>92.9537260917065</v>
      </c>
      <c r="P67" s="25">
        <v>155.96961919745061</v>
      </c>
      <c r="Q67" s="25">
        <v>134.15505312163481</v>
      </c>
      <c r="R67" s="25">
        <v>123.1033753524159</v>
      </c>
      <c r="S67" s="25">
        <v>183.31159296298279</v>
      </c>
      <c r="T67" s="26">
        <v>464056</v>
      </c>
      <c r="U67" s="26">
        <v>3467</v>
      </c>
      <c r="V67" s="26">
        <v>3460</v>
      </c>
      <c r="W67" s="26">
        <v>105096</v>
      </c>
      <c r="X67" s="27">
        <v>3056.0239999999999</v>
      </c>
      <c r="Y67" s="28">
        <v>3.3992343832378271</v>
      </c>
      <c r="Z67" s="29">
        <f t="shared" si="25"/>
        <v>0.155</v>
      </c>
    </row>
    <row r="68" spans="1:26" x14ac:dyDescent="0.4">
      <c r="A68" s="21">
        <v>45778</v>
      </c>
      <c r="B68" s="31">
        <v>55650000</v>
      </c>
      <c r="C68" s="32">
        <v>108.12</v>
      </c>
      <c r="D68" s="33">
        <v>9531.2009090909087</v>
      </c>
      <c r="E68" s="33">
        <v>940.46319545454503</v>
      </c>
      <c r="F68" s="22">
        <f t="shared" si="26"/>
        <v>2025</v>
      </c>
      <c r="G68" s="22">
        <f t="shared" si="27"/>
        <v>5</v>
      </c>
      <c r="H68" s="23">
        <f t="shared" si="28"/>
        <v>8963743.6634829007</v>
      </c>
      <c r="I68" s="23">
        <f>IF(OR(B68="",C68="",config!$B$1=""),"",B68/(C68/config!$B$1))</f>
        <v>56463235.294117644</v>
      </c>
      <c r="J68" s="23">
        <f>IF(OR(H68="",C68="",config!$B$1=""),"",H68/(C68/config!$B$1))</f>
        <v>9094734.3681471907</v>
      </c>
      <c r="K68" s="22" t="e">
        <f ca="1">IF(D68="","",IF(D68&lt;=config!$B$2,1,0))</f>
        <v>#NAME?</v>
      </c>
      <c r="L68" s="24">
        <f t="shared" si="29"/>
        <v>17.849100299269406</v>
      </c>
      <c r="M68" s="24">
        <f t="shared" si="30"/>
        <v>16.023206163146899</v>
      </c>
      <c r="N68" s="25">
        <v>105.9819074509346</v>
      </c>
      <c r="O68" s="25">
        <v>98.232042963166833</v>
      </c>
      <c r="P68" s="25">
        <v>168.66811604490971</v>
      </c>
      <c r="Q68" s="25">
        <v>135.76474305408971</v>
      </c>
      <c r="R68" s="25">
        <v>124.6953340174055</v>
      </c>
      <c r="S68" s="25">
        <v>185.0001494507068</v>
      </c>
      <c r="T68" s="26">
        <v>486574</v>
      </c>
      <c r="U68" s="26">
        <v>3932</v>
      </c>
      <c r="V68" s="26">
        <v>3661</v>
      </c>
      <c r="W68" s="26">
        <v>109284</v>
      </c>
      <c r="X68" s="27">
        <v>2401.9810000000002</v>
      </c>
      <c r="Y68" s="28">
        <v>2.959867993044075</v>
      </c>
      <c r="Z68" s="29">
        <f t="shared" si="25"/>
        <v>0.155</v>
      </c>
    </row>
    <row r="69" spans="1:26" x14ac:dyDescent="0.4">
      <c r="A69" s="21">
        <v>45809</v>
      </c>
      <c r="B69" s="30">
        <v>57270480</v>
      </c>
      <c r="C69" s="32">
        <v>108.4</v>
      </c>
      <c r="D69" s="33">
        <v>9835.0680952380953</v>
      </c>
      <c r="E69" s="33">
        <v>937.39524285714299</v>
      </c>
      <c r="F69" s="22">
        <f t="shared" si="26"/>
        <v>2025</v>
      </c>
      <c r="G69" s="22">
        <f t="shared" si="27"/>
        <v>6</v>
      </c>
      <c r="H69" s="23">
        <f t="shared" si="28"/>
        <v>9219346.0456522536</v>
      </c>
      <c r="I69" s="23">
        <f>IF(OR(B69="",C69="",config!$B$1=""),"",B69/(C69/config!$B$1))</f>
        <v>57957303.099630997</v>
      </c>
      <c r="J69" s="23">
        <f>IF(OR(H69="",C69="",config!$B$1=""),"",H69/(C69/config!$B$1))</f>
        <v>9329910.15874587</v>
      </c>
      <c r="K69" s="22" t="e">
        <f ca="1">IF(D69="","",IF(D69&lt;=config!$B$2,1,0))</f>
        <v>#NAME?</v>
      </c>
      <c r="L69" s="24">
        <f t="shared" si="29"/>
        <v>17.875217161216128</v>
      </c>
      <c r="M69" s="24">
        <f t="shared" si="30"/>
        <v>16.048735943489476</v>
      </c>
      <c r="N69" s="25">
        <v>94.814319824181453</v>
      </c>
      <c r="O69" s="25">
        <v>87.429978020548873</v>
      </c>
      <c r="P69" s="25">
        <v>154.5439307563916</v>
      </c>
      <c r="Q69" s="25">
        <v>133.55212607955849</v>
      </c>
      <c r="R69" s="25">
        <v>119.8909706631018</v>
      </c>
      <c r="S69" s="25">
        <v>194.31531014363489</v>
      </c>
      <c r="T69" s="26">
        <v>425794</v>
      </c>
      <c r="U69" s="26">
        <v>3973</v>
      </c>
      <c r="V69" s="26">
        <v>3420</v>
      </c>
      <c r="W69" s="26">
        <v>115613</v>
      </c>
      <c r="X69" s="27">
        <v>2392.9229999999998</v>
      </c>
      <c r="Y69" s="28">
        <v>2.7286999999999999</v>
      </c>
      <c r="Z69" s="29">
        <f t="shared" si="25"/>
        <v>0.155</v>
      </c>
    </row>
    <row r="70" spans="1:26" x14ac:dyDescent="0.4">
      <c r="A70" s="21">
        <v>45839</v>
      </c>
      <c r="B70" s="31">
        <v>59640000</v>
      </c>
      <c r="C70" s="32">
        <v>108.62</v>
      </c>
      <c r="D70" s="33">
        <v>9770.5804347826088</v>
      </c>
      <c r="E70" s="33">
        <v>954.19153043478298</v>
      </c>
      <c r="F70" s="22">
        <f t="shared" si="26"/>
        <v>2025</v>
      </c>
      <c r="G70" s="22">
        <f t="shared" si="27"/>
        <v>7</v>
      </c>
      <c r="H70" s="23">
        <f t="shared" si="28"/>
        <v>9323005.0983013641</v>
      </c>
      <c r="I70" s="23">
        <f>IF(OR(B70="",C70="",config!$B$1=""),"",B70/(C70/config!$B$1))</f>
        <v>60232995.765052475</v>
      </c>
      <c r="J70" s="23">
        <f>IF(OR(H70="",C70="",config!$B$1=""),"",H70/(C70/config!$B$1))</f>
        <v>9415702.9946939759</v>
      </c>
      <c r="K70" s="22" t="e">
        <f ca="1">IF(D70="","",IF(D70&lt;=config!$B$2,1,0))</f>
        <v>#NAME?</v>
      </c>
      <c r="L70" s="24">
        <f t="shared" si="29"/>
        <v>17.913730879137493</v>
      </c>
      <c r="M70" s="24">
        <f t="shared" si="30"/>
        <v>16.057889384805186</v>
      </c>
      <c r="N70" s="25">
        <v>96.158639254003219</v>
      </c>
      <c r="O70" s="25">
        <v>90.568963719614658</v>
      </c>
      <c r="P70" s="25">
        <v>141.3717609897931</v>
      </c>
      <c r="Q70" s="25">
        <v>136.6879779987986</v>
      </c>
      <c r="R70" s="25">
        <v>124.9486309765493</v>
      </c>
      <c r="S70" s="25">
        <v>188.90318836421969</v>
      </c>
      <c r="T70" s="26">
        <v>445322</v>
      </c>
      <c r="U70" s="26">
        <v>4181</v>
      </c>
      <c r="V70" s="26">
        <v>2897</v>
      </c>
      <c r="W70" s="26">
        <v>101058</v>
      </c>
      <c r="X70" s="39">
        <v>2474.9</v>
      </c>
      <c r="Y70" s="28">
        <v>4.0407999999999999</v>
      </c>
      <c r="Z70" s="29">
        <f t="shared" si="25"/>
        <v>0.155</v>
      </c>
    </row>
    <row r="71" spans="1:26" x14ac:dyDescent="0.4">
      <c r="A71" s="21">
        <v>45870</v>
      </c>
      <c r="B71" s="30">
        <v>122400000</v>
      </c>
      <c r="C71" s="32">
        <v>108.66</v>
      </c>
      <c r="D71" s="33">
        <v>9671.8757142857139</v>
      </c>
      <c r="E71" s="33">
        <v>965.26357619047599</v>
      </c>
      <c r="F71" s="22">
        <f t="shared" si="26"/>
        <v>2025</v>
      </c>
      <c r="G71" s="22">
        <f t="shared" si="27"/>
        <v>8</v>
      </c>
      <c r="H71" s="23">
        <f t="shared" si="28"/>
        <v>9335909.3404412419</v>
      </c>
      <c r="I71" s="23">
        <f>IF(OR(B71="",C71="",config!$B$1=""),"",B71/(C71/config!$B$1))</f>
        <v>123571507.45444506</v>
      </c>
      <c r="J71" s="23">
        <f>IF(OR(H71="",C71="",config!$B$1=""),"",H71/(C71/config!$B$1))</f>
        <v>9425264.6295454111</v>
      </c>
      <c r="K71" s="22" t="e">
        <f ca="1">IF(D71="","",IF(D71&lt;=config!$B$2,1,0))</f>
        <v>#NAME?</v>
      </c>
      <c r="L71" s="24">
        <f t="shared" si="29"/>
        <v>18.632330562292786</v>
      </c>
      <c r="M71" s="24">
        <f t="shared" si="30"/>
        <v>16.058904368309534</v>
      </c>
      <c r="N71" s="25">
        <v>95.587358750872809</v>
      </c>
      <c r="O71" s="25">
        <v>87.770045863050413</v>
      </c>
      <c r="P71" s="25">
        <v>158.81913617148049</v>
      </c>
      <c r="Q71" s="25">
        <v>138.89985076599109</v>
      </c>
      <c r="R71" s="25">
        <v>128.33146769941831</v>
      </c>
      <c r="S71" s="25">
        <v>185.906753619922</v>
      </c>
      <c r="T71" s="26">
        <v>423643</v>
      </c>
      <c r="U71" s="26">
        <v>3704</v>
      </c>
      <c r="V71" s="26">
        <v>4724</v>
      </c>
      <c r="W71" s="26">
        <v>114716</v>
      </c>
      <c r="X71" s="39">
        <v>3617.4</v>
      </c>
      <c r="Y71" s="28">
        <v>3.8963999999999999</v>
      </c>
      <c r="Z71" s="29">
        <f t="shared" si="25"/>
        <v>0.155</v>
      </c>
    </row>
    <row r="72" spans="1:26" x14ac:dyDescent="0.4">
      <c r="A72" s="21">
        <v>45901</v>
      </c>
      <c r="B72" s="31">
        <v>44400000</v>
      </c>
      <c r="C72" s="32">
        <v>109.14</v>
      </c>
      <c r="D72" s="33">
        <v>9994.7731818181819</v>
      </c>
      <c r="E72" s="33">
        <v>959.71748181818202</v>
      </c>
      <c r="F72" s="22">
        <f t="shared" si="26"/>
        <v>2025</v>
      </c>
      <c r="G72" s="22">
        <f t="shared" si="27"/>
        <v>9</v>
      </c>
      <c r="H72" s="23">
        <f t="shared" si="28"/>
        <v>9592158.5493984446</v>
      </c>
      <c r="I72" s="23">
        <f>IF(OR(B72="",C72="",config!$B$1=""),"",B72/(C72/config!$B$1))</f>
        <v>44627817.482133038</v>
      </c>
      <c r="J72" s="23">
        <f>IF(OR(H72="",C72="",config!$B$1=""),"",H72/(C72/config!$B$1))</f>
        <v>9641376.1486990042</v>
      </c>
      <c r="K72" s="22" t="e">
        <f ca="1">IF(D72="","",IF(D72&lt;=config!$B$2,1,0))</f>
        <v>#NAME?</v>
      </c>
      <c r="L72" s="24">
        <f t="shared" si="29"/>
        <v>17.613867955333099</v>
      </c>
      <c r="M72" s="24">
        <f t="shared" si="30"/>
        <v>16.081574410412763</v>
      </c>
      <c r="N72" s="25">
        <v>99.165517294416389</v>
      </c>
      <c r="O72" s="25">
        <v>90.744220755729685</v>
      </c>
      <c r="P72" s="25">
        <v>167.28272789713861</v>
      </c>
      <c r="Q72" s="25">
        <v>138.24933144813741</v>
      </c>
      <c r="R72" s="25">
        <v>126.7690714920499</v>
      </c>
      <c r="S72" s="25">
        <v>189.31215355576521</v>
      </c>
      <c r="T72" s="26">
        <v>456647</v>
      </c>
      <c r="U72" s="26">
        <v>3366</v>
      </c>
      <c r="V72" s="26">
        <v>3931</v>
      </c>
      <c r="W72" s="26">
        <v>115351</v>
      </c>
      <c r="X72" s="39">
        <v>2071.6999999999998</v>
      </c>
      <c r="Y72" s="28">
        <v>2.7383999999999999</v>
      </c>
      <c r="Z72" s="29">
        <f t="shared" si="25"/>
        <v>0.155</v>
      </c>
    </row>
    <row r="73" spans="1:26" x14ac:dyDescent="0.4">
      <c r="A73" s="21">
        <v>45931</v>
      </c>
      <c r="B73" s="30">
        <v>51600000</v>
      </c>
      <c r="C73" s="32">
        <v>109.19</v>
      </c>
      <c r="D73" s="33">
        <v>10739.91826086957</v>
      </c>
      <c r="E73" s="33">
        <v>952.66740869565194</v>
      </c>
      <c r="F73" s="22">
        <f t="shared" si="26"/>
        <v>2025</v>
      </c>
      <c r="G73" s="22">
        <f t="shared" si="27"/>
        <v>10</v>
      </c>
      <c r="H73" s="23">
        <f t="shared" si="28"/>
        <v>10231570.099185726</v>
      </c>
      <c r="I73" s="23">
        <f>IF(OR(B73="",C73="",config!$B$1=""),"",B73/(C73/config!$B$1))</f>
        <v>51841011.081600882</v>
      </c>
      <c r="J73" s="23">
        <f>IF(OR(H73="",C73="",config!$B$1=""),"",H73/(C73/config!$B$1))</f>
        <v>10279359.280892702</v>
      </c>
      <c r="K73" s="22" t="e">
        <f ca="1">IF(D73="","",IF(D73&lt;=config!$B$2,1,0))</f>
        <v>#NAME?</v>
      </c>
      <c r="L73" s="24">
        <f t="shared" si="29"/>
        <v>17.763692132996749</v>
      </c>
      <c r="M73" s="24">
        <f t="shared" si="30"/>
        <v>16.145648489287488</v>
      </c>
      <c r="N73" s="25">
        <v>103.9475093342073</v>
      </c>
      <c r="O73" s="25">
        <v>94.2053872491269</v>
      </c>
      <c r="P73" s="25">
        <v>182.7484610330705</v>
      </c>
      <c r="Q73" s="25">
        <v>138.49355429244761</v>
      </c>
      <c r="R73" s="25">
        <v>126.5388958213569</v>
      </c>
      <c r="S73" s="25">
        <v>191.66644420972341</v>
      </c>
      <c r="T73" s="26">
        <v>458342</v>
      </c>
      <c r="U73" s="26">
        <v>3737</v>
      </c>
      <c r="V73" s="26">
        <v>4348</v>
      </c>
      <c r="W73" s="26">
        <v>122172</v>
      </c>
      <c r="X73" s="39">
        <v>2879.3</v>
      </c>
      <c r="Y73" s="28">
        <v>2.4361000000000002</v>
      </c>
      <c r="Z73" s="29">
        <f t="shared" si="25"/>
        <v>0.155</v>
      </c>
    </row>
    <row r="74" spans="1:26" x14ac:dyDescent="0.4">
      <c r="A74" s="21">
        <v>45962</v>
      </c>
      <c r="B74" s="31">
        <v>83550000</v>
      </c>
      <c r="C74" s="32">
        <v>109.47</v>
      </c>
      <c r="D74" s="33">
        <v>10812.028</v>
      </c>
      <c r="E74" s="33">
        <v>934.79845999999998</v>
      </c>
      <c r="F74" s="22">
        <f t="shared" si="26"/>
        <v>2025</v>
      </c>
      <c r="G74" s="22">
        <f t="shared" si="27"/>
        <v>11</v>
      </c>
      <c r="H74" s="23">
        <f t="shared" si="28"/>
        <v>10107067.123876881</v>
      </c>
      <c r="I74" s="23">
        <f>IF(OR(B74="",C74="",config!$B$1=""),"",B74/(C74/config!$B$1))</f>
        <v>83725541.244176492</v>
      </c>
      <c r="J74" s="23">
        <f>IF(OR(H74="",C74="",config!$B$1=""),"",H74/(C74/config!$B$1))</f>
        <v>10128302.397819437</v>
      </c>
      <c r="K74" s="22" t="e">
        <f ca="1">IF(D74="","",IF(D74&lt;=config!$B$2,1,0))</f>
        <v>#NAME?</v>
      </c>
      <c r="L74" s="24">
        <f t="shared" si="29"/>
        <v>18.243054653114182</v>
      </c>
      <c r="M74" s="24">
        <f t="shared" si="30"/>
        <v>16.130844280524968</v>
      </c>
      <c r="N74" s="25">
        <v>102.7338307533128</v>
      </c>
      <c r="O74" s="25">
        <v>91.494510221041736</v>
      </c>
      <c r="P74" s="25">
        <v>193.6451482934504</v>
      </c>
      <c r="Q74" s="25">
        <v>139.61483959998381</v>
      </c>
      <c r="R74" s="25">
        <v>127.5010482909053</v>
      </c>
      <c r="S74" s="25">
        <v>193.49553333256861</v>
      </c>
      <c r="T74" s="26">
        <v>451874</v>
      </c>
      <c r="U74" s="26">
        <v>3608</v>
      </c>
      <c r="V74" s="26">
        <v>4562</v>
      </c>
      <c r="W74" s="26">
        <v>114249</v>
      </c>
      <c r="X74" s="39">
        <v>3706.8</v>
      </c>
      <c r="Y74" s="28">
        <v>2.9180000000000001</v>
      </c>
      <c r="Z74" s="29">
        <f t="shared" si="25"/>
        <v>0.155</v>
      </c>
    </row>
    <row r="75" spans="1:26" x14ac:dyDescent="0.4">
      <c r="A75" s="21">
        <v>45992</v>
      </c>
      <c r="B75" s="30">
        <v>70560000</v>
      </c>
      <c r="C75" s="32">
        <v>109.26</v>
      </c>
      <c r="D75" s="33">
        <v>11790.96409090909</v>
      </c>
      <c r="E75" s="33">
        <v>913.94499130434804</v>
      </c>
      <c r="F75" s="22">
        <f t="shared" si="26"/>
        <v>2025</v>
      </c>
      <c r="G75" s="22">
        <f t="shared" si="27"/>
        <v>12</v>
      </c>
      <c r="H75" s="23">
        <f t="shared" si="28"/>
        <v>10776292.573535789</v>
      </c>
      <c r="I75" s="23">
        <f>IF(OR(B75="",C75="",config!$B$1=""),"",B75/(C75/config!$B$1))</f>
        <v>70844151.565074131</v>
      </c>
      <c r="J75" s="23">
        <f>IF(OR(H75="",C75="",config!$B$1=""),"",H75/(C75/config!$B$1))</f>
        <v>10819689.688054878</v>
      </c>
      <c r="K75" s="22" t="e">
        <f ca="1">IF(D75="","",IF(D75&lt;=config!$B$2,1,0))</f>
        <v>#NAME?</v>
      </c>
      <c r="L75" s="24">
        <f t="shared" si="29"/>
        <v>18.075992988091915</v>
      </c>
      <c r="M75" s="24">
        <f t="shared" si="30"/>
        <v>16.196878151493976</v>
      </c>
      <c r="N75" s="25">
        <v>112.847086638843</v>
      </c>
      <c r="O75" s="25">
        <v>102.6403100748618</v>
      </c>
      <c r="P75" s="25">
        <v>195.40648180913411</v>
      </c>
      <c r="Q75" s="25">
        <v>132.96787128419189</v>
      </c>
      <c r="R75" s="25">
        <v>119.5142798789874</v>
      </c>
      <c r="S75" s="25">
        <v>192.8078354714489</v>
      </c>
      <c r="T75" s="26">
        <v>540263</v>
      </c>
      <c r="U75" s="26">
        <v>4305</v>
      </c>
      <c r="V75" s="26">
        <v>4593</v>
      </c>
      <c r="W75" s="26">
        <v>136517</v>
      </c>
      <c r="X75" s="39">
        <v>3181.5</v>
      </c>
      <c r="Y75" s="28">
        <v>2.6861999999999999</v>
      </c>
      <c r="Z75" s="29">
        <f t="shared" si="25"/>
        <v>0.155</v>
      </c>
    </row>
    <row r="76" spans="1:26" x14ac:dyDescent="0.4">
      <c r="A76" s="21">
        <v>46023</v>
      </c>
      <c r="B76" s="31">
        <v>66000000</v>
      </c>
      <c r="C76" s="32">
        <v>109.71</v>
      </c>
      <c r="D76" s="33">
        <v>12986.606818181819</v>
      </c>
      <c r="E76" s="33">
        <v>882.68296818181796</v>
      </c>
      <c r="F76" s="22">
        <f t="shared" si="26"/>
        <v>2026</v>
      </c>
      <c r="G76" s="22">
        <f t="shared" si="27"/>
        <v>1</v>
      </c>
      <c r="H76" s="23">
        <f t="shared" si="28"/>
        <v>11463056.652882963</v>
      </c>
      <c r="I76" s="23">
        <f>IF(OR(B76="",C76="",config!$B$1=""),"",B76/(C76/config!$B$1))</f>
        <v>65993984.140005477</v>
      </c>
      <c r="J76" s="23">
        <f>IF(OR(H76="",C76="",config!$B$1=""),"",H76/(C76/config!$B$1))</f>
        <v>11462011.802217312</v>
      </c>
      <c r="K76" s="22" t="e">
        <f ca="1">IF(D76="","",IF(D76&lt;=config!$B$2,1,0))</f>
        <v>#NAME?</v>
      </c>
      <c r="L76" s="24">
        <f t="shared" si="29"/>
        <v>18.005074161595381</v>
      </c>
      <c r="M76" s="24">
        <f t="shared" si="30"/>
        <v>16.254548803775485</v>
      </c>
      <c r="N76" s="25">
        <v>94.628226280098119</v>
      </c>
      <c r="O76" s="25">
        <v>83.90937909209633</v>
      </c>
      <c r="P76" s="25">
        <v>181.3295991588856</v>
      </c>
      <c r="Q76" s="25">
        <v>141.1151682480882</v>
      </c>
      <c r="R76" s="25">
        <v>129.21677438069861</v>
      </c>
      <c r="S76" s="25">
        <v>194.03779994292529</v>
      </c>
      <c r="T76" s="26">
        <v>413712</v>
      </c>
      <c r="U76" s="26">
        <v>2541</v>
      </c>
      <c r="V76" s="26">
        <v>4166</v>
      </c>
      <c r="W76" s="26">
        <v>118014</v>
      </c>
      <c r="X76" s="27">
        <v>2540</v>
      </c>
      <c r="Y76" s="28">
        <v>3.1</v>
      </c>
      <c r="Z76" s="29">
        <f t="shared" si="25"/>
        <v>0.155</v>
      </c>
    </row>
    <row r="77" spans="1:26" x14ac:dyDescent="0.4">
      <c r="A77" s="21">
        <v>46054</v>
      </c>
      <c r="B77" s="30">
        <v>48936000</v>
      </c>
      <c r="C77" s="32">
        <v>109.7</v>
      </c>
      <c r="D77" s="33">
        <v>12951.344999999999</v>
      </c>
      <c r="E77" s="33">
        <v>862.71648500000003</v>
      </c>
      <c r="F77" s="22">
        <f t="shared" si="26"/>
        <v>2026</v>
      </c>
      <c r="G77" s="22">
        <f t="shared" si="27"/>
        <v>2</v>
      </c>
      <c r="H77" s="23">
        <f t="shared" si="28"/>
        <v>11173338.834422326</v>
      </c>
      <c r="I77" s="23">
        <f>IF(OR(B77="",C77="",config!$B$1=""),"",B77/(C77/config!$B$1))</f>
        <v>48936000</v>
      </c>
      <c r="J77" s="23">
        <f>IF(OR(H77="",C77="",config!$B$1=""),"",H77/(C77/config!$B$1))</f>
        <v>11173338.834422326</v>
      </c>
      <c r="K77" s="22" t="e">
        <f ca="1">IF(D77="","",IF(D77&lt;=config!$B$2,1,0))</f>
        <v>#NAME?</v>
      </c>
      <c r="L77" s="24">
        <f t="shared" si="29"/>
        <v>17.706023900339392</v>
      </c>
      <c r="M77" s="24">
        <f t="shared" si="30"/>
        <v>16.229041037250827</v>
      </c>
      <c r="N77" s="25"/>
      <c r="O77" s="25"/>
      <c r="P77" s="25"/>
      <c r="Q77" s="25"/>
      <c r="R77" s="25"/>
      <c r="S77" s="25"/>
      <c r="T77" s="26"/>
      <c r="U77" s="26"/>
      <c r="V77" s="26"/>
      <c r="W77" s="26"/>
      <c r="X77" s="27">
        <v>2496</v>
      </c>
      <c r="Y77" s="28">
        <v>2.2999999999999998</v>
      </c>
      <c r="Z77" s="29">
        <f t="shared" si="25"/>
        <v>0.13</v>
      </c>
    </row>
    <row r="78" spans="1:26" x14ac:dyDescent="0.4">
      <c r="A78" s="21">
        <v>46083</v>
      </c>
      <c r="B78" s="31">
        <v>46900000</v>
      </c>
      <c r="C78" s="32">
        <v>109.7</v>
      </c>
      <c r="D78" s="33">
        <v>12264</v>
      </c>
      <c r="E78" s="33">
        <v>909.9</v>
      </c>
      <c r="F78" s="22">
        <f t="shared" ref="F78:F79" si="31">YEAR(A78)</f>
        <v>2026</v>
      </c>
      <c r="G78" s="22">
        <f t="shared" ref="G78:G79" si="32">MONTH(A78)</f>
        <v>3</v>
      </c>
      <c r="H78" s="23">
        <f t="shared" ref="H78:H79" si="33">IF(OR(D78="",E78=""),"",D78*E78)</f>
        <v>11159013.6</v>
      </c>
      <c r="I78" s="23">
        <f>IF(OR(B78="",C78="",config!$B$1=""),"",B78/(C78/config!$B$1))</f>
        <v>46900000</v>
      </c>
      <c r="J78" s="23">
        <f>IF(OR(H78="",C78="",config!$B$1=""),"",H78/(C78/config!$B$1))</f>
        <v>11159013.6</v>
      </c>
      <c r="K78" s="22" t="e">
        <f ca="1">IF(D78="","",IF(D78&lt;=config!$B$2,1,0))</f>
        <v>#NAME?</v>
      </c>
      <c r="L78" s="24">
        <f t="shared" ref="L78:L79" si="34">IF(I78="","",LN(1+MAX(0,I78)))</f>
        <v>17.66352825473847</v>
      </c>
      <c r="M78" s="24">
        <f t="shared" ref="M78:M79" si="35">IF(J78="","",LN(J78))</f>
        <v>16.227758123914295</v>
      </c>
      <c r="N78" s="25"/>
      <c r="O78" s="25"/>
      <c r="P78" s="25"/>
      <c r="Q78" s="25"/>
      <c r="R78" s="25"/>
      <c r="S78" s="25"/>
      <c r="T78" s="26"/>
      <c r="U78" s="26"/>
      <c r="V78" s="26"/>
      <c r="W78" s="26"/>
      <c r="X78" s="43">
        <v>2130</v>
      </c>
      <c r="Y78" s="44">
        <v>2.42</v>
      </c>
      <c r="Z78" s="45">
        <f t="shared" si="25"/>
        <v>0.155</v>
      </c>
    </row>
    <row r="79" spans="1:26" x14ac:dyDescent="0.4">
      <c r="A79" s="21">
        <v>46116</v>
      </c>
      <c r="B79" s="30">
        <v>99840000</v>
      </c>
      <c r="C79" s="32">
        <v>110.7</v>
      </c>
      <c r="D79" s="33">
        <v>12254</v>
      </c>
      <c r="E79" s="33">
        <v>916</v>
      </c>
      <c r="F79" s="22">
        <f t="shared" si="31"/>
        <v>2026</v>
      </c>
      <c r="G79" s="22">
        <f t="shared" si="32"/>
        <v>4</v>
      </c>
      <c r="H79" s="23">
        <f t="shared" si="33"/>
        <v>11224664</v>
      </c>
      <c r="I79" s="23">
        <f>IF(OR(B79="",C79="",config!$B$1=""),"",B79/(C79/config!$B$1))</f>
        <v>98938102.981029823</v>
      </c>
      <c r="J79" s="23">
        <f>IF(OR(H79="",C79="",config!$B$1=""),"",H79/(C79/config!$B$1))</f>
        <v>11123266.85456188</v>
      </c>
      <c r="K79" s="22" t="e">
        <f ca="1">IF(D79="","",IF(D79&lt;=config!$B$2,1,0))</f>
        <v>#NAME?</v>
      </c>
      <c r="L79" s="24">
        <f t="shared" si="34"/>
        <v>18.410005000259314</v>
      </c>
      <c r="M79" s="24">
        <f t="shared" si="35"/>
        <v>16.224549585526322</v>
      </c>
      <c r="N79" s="25"/>
      <c r="O79" s="25"/>
      <c r="P79" s="25"/>
      <c r="Q79" s="25"/>
      <c r="R79" s="25"/>
      <c r="S79" s="25"/>
      <c r="T79" s="26"/>
      <c r="U79" s="26"/>
      <c r="V79" s="26"/>
      <c r="W79" s="26"/>
      <c r="X79" s="43">
        <v>2622</v>
      </c>
      <c r="Y79" s="44">
        <v>3.8</v>
      </c>
      <c r="Z79" s="45">
        <f t="shared" si="25"/>
        <v>0.155</v>
      </c>
    </row>
  </sheetData>
  <autoFilter ref="A1:Z77" xr:uid="{00000000-0009-0000-0000-000004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README</vt:lpstr>
      <vt:lpstr>diccionario</vt:lpstr>
      <vt:lpstr>fuentes</vt:lpstr>
      <vt:lpstr>config</vt:lpstr>
      <vt:lpstr>panel_regresion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Fuica</cp:lastModifiedBy>
  <dcterms:created xsi:type="dcterms:W3CDTF">2026-03-30T02:04:12Z</dcterms:created>
  <dcterms:modified xsi:type="dcterms:W3CDTF">2026-04-18T23:20:05Z</dcterms:modified>
</cp:coreProperties>
</file>